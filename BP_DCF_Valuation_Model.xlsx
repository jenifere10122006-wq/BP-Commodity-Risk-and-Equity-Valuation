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c74292257e9662/Documents/BP_Commodity_Valuation/"/>
    </mc:Choice>
  </mc:AlternateContent>
  <xr:revisionPtr revIDLastSave="0" documentId="8_{3EF5324D-2719-4652-88CC-7EE4D227F819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Summary" sheetId="1" r:id="rId1"/>
    <sheet name="Assumptions" sheetId="2" r:id="rId2"/>
    <sheet name="Forecast" sheetId="3" r:id="rId3"/>
    <sheet name="DCF" sheetId="4" r:id="rId4"/>
    <sheet name="Sensitivity" sheetId="5" r:id="rId5"/>
    <sheet name="Support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6" l="1"/>
  <c r="D26" i="6" s="1"/>
  <c r="D27" i="6" s="1"/>
  <c r="D28" i="6" s="1"/>
  <c r="C25" i="6"/>
  <c r="C26" i="6" s="1"/>
  <c r="C27" i="6" s="1"/>
  <c r="C28" i="6" s="1"/>
  <c r="C7" i="4" s="1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25" i="6" s="1"/>
  <c r="E26" i="6" s="1"/>
  <c r="E27" i="6" s="1"/>
  <c r="E28" i="6" s="1"/>
  <c r="E6" i="6"/>
  <c r="C58" i="4"/>
  <c r="M9" i="1" s="1"/>
  <c r="C56" i="4"/>
  <c r="C54" i="4"/>
  <c r="C48" i="4"/>
  <c r="C47" i="4"/>
  <c r="C46" i="4"/>
  <c r="C45" i="4"/>
  <c r="C44" i="4"/>
  <c r="C43" i="4"/>
  <c r="C42" i="4"/>
  <c r="C41" i="4"/>
  <c r="C40" i="4"/>
  <c r="C39" i="4"/>
  <c r="C38" i="4"/>
  <c r="C37" i="4"/>
  <c r="C30" i="4"/>
  <c r="C17" i="4"/>
  <c r="C27" i="4" s="1"/>
  <c r="C12" i="4"/>
  <c r="G11" i="4"/>
  <c r="G12" i="4" s="1"/>
  <c r="F11" i="4"/>
  <c r="F12" i="4" s="1"/>
  <c r="E11" i="4"/>
  <c r="E12" i="4" s="1"/>
  <c r="D11" i="4"/>
  <c r="D12" i="4" s="1"/>
  <c r="C11" i="4"/>
  <c r="C9" i="4"/>
  <c r="J47" i="3"/>
  <c r="I47" i="3"/>
  <c r="H47" i="3"/>
  <c r="G47" i="3"/>
  <c r="F47" i="3"/>
  <c r="J46" i="3"/>
  <c r="C26" i="4" s="1"/>
  <c r="I46" i="3"/>
  <c r="H46" i="3"/>
  <c r="J45" i="3"/>
  <c r="C25" i="4" s="1"/>
  <c r="I45" i="3"/>
  <c r="H45" i="3"/>
  <c r="G45" i="3"/>
  <c r="F45" i="3"/>
  <c r="J44" i="3"/>
  <c r="F44" i="3"/>
  <c r="J43" i="3"/>
  <c r="I43" i="3"/>
  <c r="H43" i="3"/>
  <c r="G43" i="3"/>
  <c r="F43" i="3"/>
  <c r="J42" i="3"/>
  <c r="C21" i="4" s="1"/>
  <c r="I42" i="3"/>
  <c r="H42" i="3"/>
  <c r="G42" i="3"/>
  <c r="F42" i="3"/>
  <c r="J38" i="3"/>
  <c r="I38" i="3"/>
  <c r="H38" i="3"/>
  <c r="G38" i="3"/>
  <c r="F38" i="3"/>
  <c r="J36" i="3"/>
  <c r="I36" i="3"/>
  <c r="H36" i="3"/>
  <c r="G36" i="3"/>
  <c r="F36" i="3"/>
  <c r="J35" i="3"/>
  <c r="I35" i="3"/>
  <c r="H35" i="3"/>
  <c r="G35" i="3"/>
  <c r="F35" i="3"/>
  <c r="J30" i="3"/>
  <c r="I30" i="3"/>
  <c r="H30" i="3"/>
  <c r="G30" i="3"/>
  <c r="F30" i="3"/>
  <c r="J29" i="3"/>
  <c r="I29" i="3"/>
  <c r="H29" i="3"/>
  <c r="G29" i="3"/>
  <c r="F29" i="3"/>
  <c r="I28" i="3"/>
  <c r="J26" i="3"/>
  <c r="I26" i="3"/>
  <c r="H26" i="3"/>
  <c r="G26" i="3"/>
  <c r="F26" i="3"/>
  <c r="F46" i="3" s="1"/>
  <c r="J25" i="3"/>
  <c r="I25" i="3"/>
  <c r="H25" i="3"/>
  <c r="G22" i="3"/>
  <c r="J20" i="3"/>
  <c r="I20" i="3"/>
  <c r="H20" i="3"/>
  <c r="G20" i="3"/>
  <c r="G46" i="3" s="1"/>
  <c r="F20" i="3"/>
  <c r="G19" i="3"/>
  <c r="F19" i="3"/>
  <c r="J13" i="3"/>
  <c r="I13" i="3"/>
  <c r="H13" i="3"/>
  <c r="G13" i="3"/>
  <c r="F13" i="3"/>
  <c r="J12" i="3"/>
  <c r="J28" i="3" s="1"/>
  <c r="I12" i="3"/>
  <c r="H12" i="3"/>
  <c r="H28" i="3" s="1"/>
  <c r="G12" i="3"/>
  <c r="G28" i="3" s="1"/>
  <c r="F12" i="3"/>
  <c r="F28" i="3" s="1"/>
  <c r="J11" i="3"/>
  <c r="I11" i="3"/>
  <c r="I22" i="3" s="1"/>
  <c r="I23" i="3" s="1"/>
  <c r="I24" i="3" s="1"/>
  <c r="I27" i="3" s="1"/>
  <c r="H11" i="3"/>
  <c r="G11" i="3"/>
  <c r="F11" i="3"/>
  <c r="J10" i="3"/>
  <c r="I10" i="3"/>
  <c r="H10" i="3"/>
  <c r="H23" i="3" s="1"/>
  <c r="H24" i="3" s="1"/>
  <c r="H27" i="3" s="1"/>
  <c r="G10" i="3"/>
  <c r="G23" i="3" s="1"/>
  <c r="G24" i="3" s="1"/>
  <c r="F10" i="3"/>
  <c r="I9" i="3"/>
  <c r="H9" i="3"/>
  <c r="H22" i="3" s="1"/>
  <c r="G9" i="3"/>
  <c r="G17" i="3" s="1"/>
  <c r="F9" i="3"/>
  <c r="F22" i="3" s="1"/>
  <c r="J8" i="3"/>
  <c r="J19" i="3" s="1"/>
  <c r="I8" i="3"/>
  <c r="I19" i="3" s="1"/>
  <c r="I41" i="3" s="1"/>
  <c r="H8" i="3"/>
  <c r="H19" i="3" s="1"/>
  <c r="H41" i="3" s="1"/>
  <c r="G8" i="3"/>
  <c r="F8" i="3"/>
  <c r="F17" i="3" s="1"/>
  <c r="J7" i="3"/>
  <c r="J9" i="3" s="1"/>
  <c r="I7" i="3"/>
  <c r="H7" i="3"/>
  <c r="G7" i="3"/>
  <c r="F7" i="3"/>
  <c r="J6" i="3"/>
  <c r="C24" i="4" s="1"/>
  <c r="I6" i="3"/>
  <c r="I44" i="3" s="1"/>
  <c r="H6" i="3"/>
  <c r="H44" i="3" s="1"/>
  <c r="G6" i="3"/>
  <c r="G44" i="3" s="1"/>
  <c r="E33" i="6" s="1"/>
  <c r="F6" i="3"/>
  <c r="C50" i="2"/>
  <c r="C49" i="2"/>
  <c r="C48" i="2"/>
  <c r="C46" i="2"/>
  <c r="C47" i="2" s="1"/>
  <c r="B12" i="1"/>
  <c r="H8" i="1"/>
  <c r="G7" i="1"/>
  <c r="B7" i="1"/>
  <c r="G6" i="1"/>
  <c r="J17" i="3" l="1"/>
  <c r="J22" i="3"/>
  <c r="J23" i="3" s="1"/>
  <c r="J24" i="3" s="1"/>
  <c r="J27" i="3" s="1"/>
  <c r="F18" i="3"/>
  <c r="F21" i="3" s="1"/>
  <c r="C51" i="2"/>
  <c r="N29" i="5"/>
  <c r="L29" i="5"/>
  <c r="M29" i="5"/>
  <c r="J41" i="3"/>
  <c r="C20" i="4" s="1"/>
  <c r="M23" i="5"/>
  <c r="L23" i="5"/>
  <c r="G18" i="3"/>
  <c r="G21" i="3" s="1"/>
  <c r="N23" i="5"/>
  <c r="F23" i="3"/>
  <c r="F24" i="3" s="1"/>
  <c r="L30" i="5"/>
  <c r="M30" i="5"/>
  <c r="H17" i="3"/>
  <c r="N30" i="5"/>
  <c r="H6" i="1"/>
  <c r="I17" i="3"/>
  <c r="F25" i="3"/>
  <c r="F41" i="3" s="1"/>
  <c r="G8" i="1"/>
  <c r="G25" i="3"/>
  <c r="G41" i="3" s="1"/>
  <c r="H7" i="1"/>
  <c r="I18" i="3" l="1"/>
  <c r="I21" i="3" s="1"/>
  <c r="I31" i="3" s="1"/>
  <c r="I37" i="3" s="1"/>
  <c r="N25" i="5"/>
  <c r="M25" i="5"/>
  <c r="L25" i="5"/>
  <c r="E13" i="4"/>
  <c r="D13" i="4"/>
  <c r="C18" i="4"/>
  <c r="C49" i="4"/>
  <c r="C50" i="4" s="1"/>
  <c r="G13" i="4"/>
  <c r="F13" i="4"/>
  <c r="C13" i="4"/>
  <c r="L22" i="5"/>
  <c r="L32" i="5" s="1"/>
  <c r="M22" i="5"/>
  <c r="M32" i="5" s="1"/>
  <c r="H18" i="3"/>
  <c r="H21" i="3" s="1"/>
  <c r="H31" i="3" s="1"/>
  <c r="H37" i="3" s="1"/>
  <c r="N24" i="5"/>
  <c r="M24" i="5"/>
  <c r="L24" i="5"/>
  <c r="N22" i="5"/>
  <c r="G27" i="3"/>
  <c r="G31" i="3" s="1"/>
  <c r="G37" i="3" s="1"/>
  <c r="N28" i="5"/>
  <c r="N31" i="5" s="1"/>
  <c r="M28" i="5"/>
  <c r="M31" i="5" s="1"/>
  <c r="L28" i="5"/>
  <c r="L31" i="5" s="1"/>
  <c r="N26" i="5"/>
  <c r="J18" i="3"/>
  <c r="J21" i="3" s="1"/>
  <c r="J31" i="3" s="1"/>
  <c r="M26" i="5"/>
  <c r="L26" i="5"/>
  <c r="F27" i="3"/>
  <c r="F31" i="3" s="1"/>
  <c r="F37" i="3" l="1"/>
  <c r="G9" i="1"/>
  <c r="G39" i="3"/>
  <c r="G40" i="3" s="1"/>
  <c r="G48" i="3" s="1"/>
  <c r="H39" i="3"/>
  <c r="H40" i="3" s="1"/>
  <c r="H48" i="3" s="1"/>
  <c r="L14" i="5"/>
  <c r="L33" i="5"/>
  <c r="I17" i="1"/>
  <c r="B11" i="1"/>
  <c r="J37" i="3"/>
  <c r="H9" i="1"/>
  <c r="M33" i="5"/>
  <c r="M14" i="5"/>
  <c r="N32" i="5"/>
  <c r="I40" i="3"/>
  <c r="I48" i="3" s="1"/>
  <c r="I39" i="3"/>
  <c r="M4" i="1" l="1"/>
  <c r="E6" i="4"/>
  <c r="E10" i="4" s="1"/>
  <c r="E14" i="4" s="1"/>
  <c r="H49" i="3"/>
  <c r="M3" i="1"/>
  <c r="D6" i="4"/>
  <c r="D10" i="4" s="1"/>
  <c r="D14" i="4" s="1"/>
  <c r="G49" i="3"/>
  <c r="M15" i="5"/>
  <c r="M34" i="5"/>
  <c r="F6" i="4"/>
  <c r="F10" i="4" s="1"/>
  <c r="F14" i="4" s="1"/>
  <c r="I49" i="3"/>
  <c r="M5" i="1"/>
  <c r="N33" i="5"/>
  <c r="N14" i="5"/>
  <c r="J39" i="3"/>
  <c r="J40" i="3" s="1"/>
  <c r="L34" i="5"/>
  <c r="L15" i="5"/>
  <c r="F39" i="3"/>
  <c r="F40" i="3"/>
  <c r="F48" i="3" s="1"/>
  <c r="C19" i="4" l="1"/>
  <c r="J48" i="3"/>
  <c r="N34" i="5"/>
  <c r="N15" i="5"/>
  <c r="L35" i="5"/>
  <c r="L17" i="5" s="1"/>
  <c r="C17" i="1" s="1"/>
  <c r="L16" i="5"/>
  <c r="B17" i="1" s="1"/>
  <c r="M16" i="5"/>
  <c r="M35" i="5"/>
  <c r="M17" i="5" s="1"/>
  <c r="C18" i="1" s="1"/>
  <c r="M2" i="1"/>
  <c r="F49" i="3"/>
  <c r="G11" i="1" s="1"/>
  <c r="C6" i="4"/>
  <c r="C8" i="4" s="1"/>
  <c r="C10" i="4" s="1"/>
  <c r="G10" i="1"/>
  <c r="B18" i="1" l="1"/>
  <c r="F10" i="5"/>
  <c r="G12" i="5"/>
  <c r="E10" i="5"/>
  <c r="C8" i="5"/>
  <c r="F12" i="5"/>
  <c r="D10" i="5"/>
  <c r="B8" i="5"/>
  <c r="E12" i="5"/>
  <c r="E7" i="5"/>
  <c r="H11" i="5"/>
  <c r="F9" i="5"/>
  <c r="D7" i="5"/>
  <c r="G11" i="5"/>
  <c r="E9" i="5"/>
  <c r="C11" i="5"/>
  <c r="H8" i="5"/>
  <c r="F6" i="5"/>
  <c r="C14" i="4"/>
  <c r="C32" i="4" s="1"/>
  <c r="B11" i="5"/>
  <c r="G8" i="5"/>
  <c r="N16" i="5"/>
  <c r="B19" i="1" s="1"/>
  <c r="N35" i="5"/>
  <c r="N17" i="5" s="1"/>
  <c r="C19" i="1" s="1"/>
  <c r="J49" i="3"/>
  <c r="H11" i="1" s="1"/>
  <c r="G6" i="4"/>
  <c r="G10" i="4" s="1"/>
  <c r="G14" i="4" s="1"/>
  <c r="H10" i="1"/>
  <c r="M6" i="1"/>
  <c r="C22" i="4"/>
  <c r="C23" i="4" s="1"/>
  <c r="C28" i="4" s="1"/>
  <c r="C29" i="4" s="1"/>
  <c r="C31" i="4" s="1"/>
  <c r="C33" i="4" l="1"/>
  <c r="G6" i="5"/>
  <c r="B12" i="5"/>
  <c r="B6" i="5"/>
  <c r="D8" i="5"/>
  <c r="G9" i="5"/>
  <c r="B9" i="5"/>
  <c r="H6" i="5"/>
  <c r="C6" i="5"/>
  <c r="D11" i="5"/>
  <c r="H9" i="5"/>
  <c r="E8" i="5"/>
  <c r="F7" i="5"/>
  <c r="C12" i="5"/>
  <c r="G10" i="5"/>
  <c r="C9" i="5"/>
  <c r="G7" i="5"/>
  <c r="B7" i="5"/>
  <c r="H7" i="5"/>
  <c r="H12" i="5"/>
  <c r="E11" i="5"/>
  <c r="D6" i="5"/>
  <c r="B10" i="5"/>
  <c r="F8" i="5"/>
  <c r="D9" i="5"/>
  <c r="D12" i="5"/>
  <c r="H10" i="5"/>
  <c r="F11" i="5"/>
  <c r="E6" i="5"/>
  <c r="C7" i="5"/>
  <c r="C10" i="5"/>
  <c r="B9" i="1" l="1"/>
  <c r="C51" i="4"/>
  <c r="C34" i="4"/>
  <c r="G12" i="1" l="1"/>
  <c r="H12" i="1"/>
  <c r="B10" i="1"/>
  <c r="C55" i="4"/>
  <c r="C57" i="4" s="1"/>
  <c r="C59" i="4" l="1"/>
  <c r="B8" i="1" s="1"/>
  <c r="M10" i="1"/>
  <c r="B6" i="1"/>
  <c r="I19" i="1"/>
  <c r="I18" i="1"/>
</calcChain>
</file>

<file path=xl/sharedStrings.xml><?xml version="1.0" encoding="utf-8"?>
<sst xmlns="http://schemas.openxmlformats.org/spreadsheetml/2006/main" count="729" uniqueCount="331">
  <si>
    <t>BP plc | DCF Valuation</t>
  </si>
  <si>
    <t>Year</t>
  </si>
  <si>
    <t>UFCF</t>
  </si>
  <si>
    <t>Independent valuation analysis | Public information through 4 September 2026 | GBX / US$ million unless stated</t>
  </si>
  <si>
    <t>2026E</t>
  </si>
  <si>
    <t>2027E</t>
  </si>
  <si>
    <t>VALUATION SNAPSHOT</t>
  </si>
  <si>
    <t>OPERATING SNAPSHOT</t>
  </si>
  <si>
    <t>2028E</t>
  </si>
  <si>
    <t>Metric</t>
  </si>
  <si>
    <t>Value</t>
  </si>
  <si>
    <t>Unit</t>
  </si>
  <si>
    <t>Reference</t>
  </si>
  <si>
    <t>2030E</t>
  </si>
  <si>
    <t>Source</t>
  </si>
  <si>
    <t>2029E</t>
  </si>
  <si>
    <t>Implied share value</t>
  </si>
  <si>
    <t>GBX</t>
  </si>
  <si>
    <t>Base case</t>
  </si>
  <si>
    <t>Brent average price</t>
  </si>
  <si>
    <t>$/bbl</t>
  </si>
  <si>
    <t>Forecast</t>
  </si>
  <si>
    <t>Market price</t>
  </si>
  <si>
    <t>4-Sep-2026</t>
  </si>
  <si>
    <t>Oil P&amp;O production</t>
  </si>
  <si>
    <t>mboe/d</t>
  </si>
  <si>
    <t>Upside / (downside)</t>
  </si>
  <si>
    <t>%</t>
  </si>
  <si>
    <t>Base vs market</t>
  </si>
  <si>
    <t>Gas &amp; LCE production</t>
  </si>
  <si>
    <t>Valuation</t>
  </si>
  <si>
    <t>Operating enterprise value</t>
  </si>
  <si>
    <t>$m</t>
  </si>
  <si>
    <t>DCF</t>
  </si>
  <si>
    <t>Group underlying RC PBIT</t>
  </si>
  <si>
    <t>Market</t>
  </si>
  <si>
    <t>Implied ordinary equity value</t>
  </si>
  <si>
    <t>EV bridge</t>
  </si>
  <si>
    <t>Unlevered free cash flow</t>
  </si>
  <si>
    <t>Implied</t>
  </si>
  <si>
    <t>WACC</t>
  </si>
  <si>
    <t>Calculated</t>
  </si>
  <si>
    <t>UFCF / sales</t>
  </si>
  <si>
    <t>Perpetual growth</t>
  </si>
  <si>
    <t>Terminal</t>
  </si>
  <si>
    <t>PV terminal value / EV</t>
  </si>
  <si>
    <t>OPERATING SCENARIOS</t>
  </si>
  <si>
    <t>KEY CHECKS</t>
  </si>
  <si>
    <t>Case</t>
  </si>
  <si>
    <t>Implied value</t>
  </si>
  <si>
    <t>Key framing</t>
  </si>
  <si>
    <t>Check</t>
  </si>
  <si>
    <t>Status</t>
  </si>
  <si>
    <t>Bear</t>
  </si>
  <si>
    <t>Commodity / delivery downside</t>
  </si>
  <si>
    <t>WACC &gt; perpetual growth</t>
  </si>
  <si>
    <t>Base</t>
  </si>
  <si>
    <t>Central assumptions</t>
  </si>
  <si>
    <t>Base sensitivity ties to DCF</t>
  </si>
  <si>
    <t>Bull</t>
  </si>
  <si>
    <t>Commodity / delivery upside</t>
  </si>
  <si>
    <t>Base scenario ties to DCF</t>
  </si>
  <si>
    <t>BP plc | Key Assumptions</t>
  </si>
  <si>
    <t>Base-case operating, WACC and equity-bridge inputs | USD unless stated</t>
  </si>
  <si>
    <t>MARKET &amp; OPERATING DRIVERS</t>
  </si>
  <si>
    <t>Driver / Assumption</t>
  </si>
  <si>
    <t>Sales / working-capital proxy</t>
  </si>
  <si>
    <t>S02/S19</t>
  </si>
  <si>
    <t>S04/S17</t>
  </si>
  <si>
    <t>Oil total realisation / Brent</t>
  </si>
  <si>
    <t>S01</t>
  </si>
  <si>
    <t>S02/S05</t>
  </si>
  <si>
    <t>Oil adjusted EBITDA conversion</t>
  </si>
  <si>
    <t>S01/S02</t>
  </si>
  <si>
    <t>Oil D&amp;A / boe</t>
  </si>
  <si>
    <t>$/boe</t>
  </si>
  <si>
    <t>Oil exploration write-offs</t>
  </si>
  <si>
    <t>Henry Hub</t>
  </si>
  <si>
    <t>$/mcf</t>
  </si>
  <si>
    <t>Gas premium to Henry Hub</t>
  </si>
  <si>
    <t>Gas liquids production mix</t>
  </si>
  <si>
    <t>Gas conversion</t>
  </si>
  <si>
    <t>mcf/boe</t>
  </si>
  <si>
    <t>Gas adjusted EBITDA conversion</t>
  </si>
  <si>
    <t>Gas D&amp;A / boe</t>
  </si>
  <si>
    <t>Gas exploration write-offs</t>
  </si>
  <si>
    <t>Customers underlying RC PBIT</t>
  </si>
  <si>
    <t>Products underlying RC PBIT</t>
  </si>
  <si>
    <t>Other businesses &amp; corporate</t>
  </si>
  <si>
    <t>UPII consolidation adjustment</t>
  </si>
  <si>
    <t>S02</t>
  </si>
  <si>
    <t>Equity-accounted income removed</t>
  </si>
  <si>
    <t>Non-operating financing income</t>
  </si>
  <si>
    <t>S01/S19</t>
  </si>
  <si>
    <t>Operating tax rate</t>
  </si>
  <si>
    <t>Other D&amp;A</t>
  </si>
  <si>
    <t>Cash capital expenditure</t>
  </si>
  <si>
    <t>Net lease asset additions</t>
  </si>
  <si>
    <t>S19</t>
  </si>
  <si>
    <t>Trade NWC / sales</t>
  </si>
  <si>
    <t>JV / associate cash dividends</t>
  </si>
  <si>
    <t>Cash restructuring</t>
  </si>
  <si>
    <t>Oil total / liquids realisation</t>
  </si>
  <si>
    <t>x</t>
  </si>
  <si>
    <t>WACC BUILD</t>
  </si>
  <si>
    <t>TERMINAL &amp; EQUITY BRIDGE INPUTS</t>
  </si>
  <si>
    <t>Input</t>
  </si>
  <si>
    <t>USD risk-free rate</t>
  </si>
  <si>
    <t>S10</t>
  </si>
  <si>
    <t>Perpetual nominal growth</t>
  </si>
  <si>
    <t>Equity risk premium</t>
  </si>
  <si>
    <t>S12</t>
  </si>
  <si>
    <t>Terminal incremental ROIC</t>
  </si>
  <si>
    <t>Industry unlevered beta</t>
  </si>
  <si>
    <t>S11</t>
  </si>
  <si>
    <t>Gross finance debt</t>
  </si>
  <si>
    <t>Marginal financing tax shield</t>
  </si>
  <si>
    <t>Finance debt hedge liability</t>
  </si>
  <si>
    <t>Pre-tax cost of debt</t>
  </si>
  <si>
    <t>S13</t>
  </si>
  <si>
    <t>Net lease liabilities</t>
  </si>
  <si>
    <t>Market value of ordinary equity</t>
  </si>
  <si>
    <t>S08</t>
  </si>
  <si>
    <t>Perpetual hybrid claim</t>
  </si>
  <si>
    <t>Debt capital for WACC</t>
  </si>
  <si>
    <t>Other non-controlling interests</t>
  </si>
  <si>
    <t>Relevered beta</t>
  </si>
  <si>
    <t>Pension deficit net of tax</t>
  </si>
  <si>
    <t>Cost of equity</t>
  </si>
  <si>
    <t>Oil-spill claim net of tax asset</t>
  </si>
  <si>
    <t>After-tax cost of debt</t>
  </si>
  <si>
    <t>Decommissioning claim net of tax</t>
  </si>
  <si>
    <t>Equity weight</t>
  </si>
  <si>
    <t>Preference share claim</t>
  </si>
  <si>
    <t>Debt weight</t>
  </si>
  <si>
    <t>Declared dividend per share</t>
  </si>
  <si>
    <t>USD</t>
  </si>
  <si>
    <t>Cash and equivalents</t>
  </si>
  <si>
    <t>Other investments</t>
  </si>
  <si>
    <t>Expected Castrol proceeds</t>
  </si>
  <si>
    <t>Diluted ordinary shares</t>
  </si>
  <si>
    <t>m</t>
  </si>
  <si>
    <t>USD per GBP</t>
  </si>
  <si>
    <t>Valuation date</t>
  </si>
  <si>
    <t>date</t>
  </si>
  <si>
    <t>Ordinary shares excluding treasury</t>
  </si>
  <si>
    <t>BP plc | Operating Forecast &amp; UFCF</t>
  </si>
  <si>
    <t>2023A–2025A historicals | 2026E–2030E driver-based forecast | US$ million unless stated</t>
  </si>
  <si>
    <t>KEY OPERATING DRIVERS</t>
  </si>
  <si>
    <t>2023A</t>
  </si>
  <si>
    <t>2024A</t>
  </si>
  <si>
    <t>2025A</t>
  </si>
  <si>
    <t>Sales and other operating revenues</t>
  </si>
  <si>
    <t>Oil total hydrocarbon realisation</t>
  </si>
  <si>
    <t>Gas realised gas price</t>
  </si>
  <si>
    <t>SEGMENT OPERATING BUILD</t>
  </si>
  <si>
    <t>Oil production × realisation proxy</t>
  </si>
  <si>
    <t>Oil adjusted EBITDA</t>
  </si>
  <si>
    <t>Oil D&amp;A</t>
  </si>
  <si>
    <t>Oil P&amp;O underlying RC PBIT</t>
  </si>
  <si>
    <t>Gas total hydrocarbon realisation</t>
  </si>
  <si>
    <t>Gas production × realisation proxy</t>
  </si>
  <si>
    <t>Gas adjusted EBITDA</t>
  </si>
  <si>
    <t>Gas D&amp;A</t>
  </si>
  <si>
    <t>Gas &amp; LCE underlying RC PBIT</t>
  </si>
  <si>
    <t>Customers &amp; Products underlying RC PBIT</t>
  </si>
  <si>
    <t>UNLEVERED FREE CASH FLOW</t>
  </si>
  <si>
    <t>Less: equity-accounted income</t>
  </si>
  <si>
    <t>Less: non-operating financing income</t>
  </si>
  <si>
    <t>Adjusted consolidated EBIT</t>
  </si>
  <si>
    <t>Operating cash-tax proxy</t>
  </si>
  <si>
    <t>NOPAT</t>
  </si>
  <si>
    <t>Total consolidated D&amp;A</t>
  </si>
  <si>
    <t>Increase / (release) in cash NWC</t>
  </si>
  <si>
    <t>Non-cash exploration write-offs</t>
  </si>
  <si>
    <t>BP plc | Discounted Cash Flow Valuation</t>
  </si>
  <si>
    <t>Residual cash flows after 4 September 2026 | mid-year convention | terminal reinvestment normalisation</t>
  </si>
  <si>
    <t>A. EXPLICIT FORECAST UFCF</t>
  </si>
  <si>
    <t>2026 stub</t>
  </si>
  <si>
    <t>Full-year UFCF</t>
  </si>
  <si>
    <t>Less: H1 2026 UFCF proxy</t>
  </si>
  <si>
    <t>H2 2026 UFCF</t>
  </si>
  <si>
    <t>Remaining H2 fraction</t>
  </si>
  <si>
    <t>UFCF after valuation date</t>
  </si>
  <si>
    <t>Cash-flow midpoint</t>
  </si>
  <si>
    <t>Years from valuation</t>
  </si>
  <si>
    <t>years</t>
  </si>
  <si>
    <t>Discount factor</t>
  </si>
  <si>
    <t>Present value of UFCF</t>
  </si>
  <si>
    <t>B. TERMINAL VALUE</t>
  </si>
  <si>
    <t>Terminal growth</t>
  </si>
  <si>
    <t>2031 NOPAT</t>
  </si>
  <si>
    <t>2031 D&amp;A</t>
  </si>
  <si>
    <t>2031 cash + lease capex floor</t>
  </si>
  <si>
    <t>Growth reinvestment requirement</t>
  </si>
  <si>
    <t>Terminal capex incl. lease additions</t>
  </si>
  <si>
    <t>2031 change in working capital</t>
  </si>
  <si>
    <t>2031 JV cash dividends</t>
  </si>
  <si>
    <t>2031 exploration write-offs</t>
  </si>
  <si>
    <t>2031 cash restructuring</t>
  </si>
  <si>
    <t>Normalised 2031 UFCF</t>
  </si>
  <si>
    <t>Terminal value at 31 Dec 2030</t>
  </si>
  <si>
    <t>Terminal discount period</t>
  </si>
  <si>
    <t>PV of terminal value</t>
  </si>
  <si>
    <t>PV of explicit-period UFCF</t>
  </si>
  <si>
    <t>PV terminal value / enterprise value</t>
  </si>
  <si>
    <t>C. ENTERPRISE VALUE → EQUITY VALUE</t>
  </si>
  <si>
    <t>Declared ex-dividend liability</t>
  </si>
  <si>
    <t>PV of expected Castrol sale proceeds</t>
  </si>
  <si>
    <t>Net EV-to-equity adjustment</t>
  </si>
  <si>
    <t>D. PER-SHARE VALUATION</t>
  </si>
  <si>
    <t>Implied value per ordinary share</t>
  </si>
  <si>
    <t>Implied London ordinary share value</t>
  </si>
  <si>
    <t>BP plc | Sensitivity &amp; Operating Scenarios</t>
  </si>
  <si>
    <t>WACC / terminal growth sensitivity separated from Bear / Base / Bull operating cases</t>
  </si>
  <si>
    <t>DCF SENSITIVITY: WACC × PERPETUAL GROWTH</t>
  </si>
  <si>
    <t>WACC / g</t>
  </si>
  <si>
    <t>Driver</t>
  </si>
  <si>
    <t>Brent / oil realisation</t>
  </si>
  <si>
    <t>% vs Base</t>
  </si>
  <si>
    <t>Upstream production</t>
  </si>
  <si>
    <t>Gas price / G&amp;LCE earnings</t>
  </si>
  <si>
    <t>Customers &amp; Products profitability</t>
  </si>
  <si>
    <t>Cash capex</t>
  </si>
  <si>
    <t>SCENARIO OUTPUTS</t>
  </si>
  <si>
    <t>Enterprise value</t>
  </si>
  <si>
    <t>Equity value</t>
  </si>
  <si>
    <t>SCENARIO CASH-FLOW ENGINE</t>
  </si>
  <si>
    <t>2026E UFCF</t>
  </si>
  <si>
    <t>2027E UFCF</t>
  </si>
  <si>
    <t>2028E UFCF</t>
  </si>
  <si>
    <t>2029E UFCF</t>
  </si>
  <si>
    <t>2030E UFCF</t>
  </si>
  <si>
    <t>2030 NOPAT</t>
  </si>
  <si>
    <t>2030 D&amp;A</t>
  </si>
  <si>
    <t>2030 cash capex</t>
  </si>
  <si>
    <t>Terminal UFCF</t>
  </si>
  <si>
    <t>BP plc | Support Schedules</t>
  </si>
  <si>
    <t>2026 H1 actual / H2 estimate bridge and compact calculation support</t>
  </si>
  <si>
    <t>2026 H1 / H2 CALIBRATION</t>
  </si>
  <si>
    <t>H1 2026A</t>
  </si>
  <si>
    <t>H2 2026E</t>
  </si>
  <si>
    <t>FY26E</t>
  </si>
  <si>
    <t>Equity-accounted income</t>
  </si>
  <si>
    <t>Derived 2026 cash-flow bridge</t>
  </si>
  <si>
    <t>NWC &amp; CALENDAR SUPPORT</t>
  </si>
  <si>
    <t>Item</t>
  </si>
  <si>
    <t>Notes</t>
  </si>
  <si>
    <t>Cash working-capital index</t>
  </si>
  <si>
    <t>2026 anchored to H1 build</t>
  </si>
  <si>
    <t>Days in year</t>
  </si>
  <si>
    <t>days</t>
  </si>
  <si>
    <t>2028 uses 366 days</t>
  </si>
  <si>
    <t>H2 2026 days</t>
  </si>
  <si>
    <t>1 Jul–31 Dec</t>
  </si>
  <si>
    <t>Remaining H2 days after valuation date</t>
  </si>
  <si>
    <t>5 Sep–31 Dec</t>
  </si>
  <si>
    <t>BP plc | Sources</t>
  </si>
  <si>
    <t>Primary company, market and methodology references used in the model</t>
  </si>
  <si>
    <t>ID</t>
  </si>
  <si>
    <t>Period / as of</t>
  </si>
  <si>
    <t>URL</t>
  </si>
  <si>
    <t>Model use</t>
  </si>
  <si>
    <t>BP 2025 Annual Report / Form 20-F</t>
  </si>
  <si>
    <t>2023–2025</t>
  </si>
  <si>
    <t>https://www.sec.gov/Archives/edgar/data/313807/000031380726000006/bp-20251231.htm</t>
  </si>
  <si>
    <t>Historical financials, segment data, working capital, debt and provisions</t>
  </si>
  <si>
    <t>BP second-quarter / H1 2026 results</t>
  </si>
  <si>
    <t>30-Jun-2026</t>
  </si>
  <si>
    <t>https://www.bp.com/api/files/6cqieuqhq4no/master/3m82HmOzrcUhzGfOQ2Uajc/9fbef18373195a44947e3a797d6cc0cf/bp-second-quarter-2026-results.pdf</t>
  </si>
  <si>
    <t>H1 actuals, production, guidance, balance sheet and Castrol treatment</t>
  </si>
  <si>
    <t>S03</t>
  </si>
  <si>
    <t>BP H1 2026 regulatory announcement</t>
  </si>
  <si>
    <t>04-Aug-2026</t>
  </si>
  <si>
    <t>https://www.investegate.co.uk/announcement/rns/bp--bp./2q26-bp-plc-sea/9702420</t>
  </si>
  <si>
    <t>Regulatory cross-check of H1 reporting</t>
  </si>
  <si>
    <t>S04</t>
  </si>
  <si>
    <t>EIA Short-Term Energy Outlook</t>
  </si>
  <si>
    <t>11-Aug-2026</t>
  </si>
  <si>
    <t>https://www.eia.gov/outlooks/steo/</t>
  </si>
  <si>
    <t>2026–27 Brent and Henry Hub assumptions</t>
  </si>
  <si>
    <t>S05</t>
  </si>
  <si>
    <t>BP major project disclosures</t>
  </si>
  <si>
    <t>Accessed 06-Sep-2026</t>
  </si>
  <si>
    <t>https://www.bp.com/investors/major-projects</t>
  </si>
  <si>
    <t>Near-term production / project delivery context</t>
  </si>
  <si>
    <t>S06</t>
  </si>
  <si>
    <t>BP 2025 target price framework</t>
  </si>
  <si>
    <t>2024 real dollars</t>
  </si>
  <si>
    <t>Long-run oil, gas and refining normalisation reference</t>
  </si>
  <si>
    <t>S07</t>
  </si>
  <si>
    <t>BP Total Voting Rights</t>
  </si>
  <si>
    <t>31-Aug-2026</t>
  </si>
  <si>
    <t>https://www.investegate.co.uk/announcement/rns/bp--bp./total-voting-rights/9749599</t>
  </si>
  <si>
    <t>Ordinary and preference share counts</t>
  </si>
  <si>
    <t>London Stock Exchange BP price</t>
  </si>
  <si>
    <t>04-Sep-2026</t>
  </si>
  <si>
    <t>https://www.londonstockexchange.com/stock/BP./bp-plc/company-page</t>
  </si>
  <si>
    <t>Reference market price and market capitalisation</t>
  </si>
  <si>
    <t>S09</t>
  </si>
  <si>
    <t>GBP/USD daily exchange rate</t>
  </si>
  <si>
    <t>https://www.exchangerates.org.uk/GBP-USD-spot-exchange-rates-history-2026.html</t>
  </si>
  <si>
    <t>USD / GBP conversion</t>
  </si>
  <si>
    <t>Federal Reserve / FRED DGS10</t>
  </si>
  <si>
    <t>03-Sep-2026</t>
  </si>
  <si>
    <t>https://fred.stlouisfed.org/series/DGS10</t>
  </si>
  <si>
    <t>Damodaran global sector betas</t>
  </si>
  <si>
    <t>Jan-2026</t>
  </si>
  <si>
    <t>https://pages.stern.nyu.edu/~adamodar/New_Home_Page/datafile/BetasGlobal.html</t>
  </si>
  <si>
    <t>Integrated oil &amp; gas unlevered beta</t>
  </si>
  <si>
    <t>Damodaran implied equity risk premium</t>
  </si>
  <si>
    <t>Jul-2026</t>
  </si>
  <si>
    <t>https://pages.stern.nyu.edu/~adamodar/</t>
  </si>
  <si>
    <t>BP borrowing cost</t>
  </si>
  <si>
    <t>FY2025</t>
  </si>
  <si>
    <t>Effective pre-tax debt-cost proxy</t>
  </si>
  <si>
    <t>S14</t>
  </si>
  <si>
    <t>BP Castrol agreement</t>
  </si>
  <si>
    <t>FY2025 / H1 2026</t>
  </si>
  <si>
    <t>Expected proceeds and earnings removal</t>
  </si>
  <si>
    <t>S17</t>
  </si>
  <si>
    <t>Long-term commodity assumptions</t>
  </si>
  <si>
    <t>2028–2030</t>
  </si>
  <si>
    <t>Analyst assumption</t>
  </si>
  <si>
    <t>Brent / gas normalisation beyond the short-term external forecast</t>
  </si>
  <si>
    <t>S18</t>
  </si>
  <si>
    <t>Terminal assumptions</t>
  </si>
  <si>
    <t>2031 onward</t>
  </si>
  <si>
    <t>1.5% perpetual growth and 10% incremental ROIC</t>
  </si>
  <si>
    <t>Valuation conventions</t>
  </si>
  <si>
    <t>Residual-2026 timing, WACC capital structure and balance-sheet bridge conventions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</si>
</sst>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[Red]\(#,##0\);\-"/>
    <numFmt numFmtId="165" formatCode="\$0.00;[Red]\(\$0.00\);\-"/>
    <numFmt numFmtId="166" formatCode="0.0%;[Red]\(0.0%\);\-"/>
    <numFmt numFmtId="167" formatCode="0.0;[Red]\(0.0\);\-"/>
    <numFmt numFmtId="168" formatCode="0.00;[Red]\(0.00\);\-"/>
    <numFmt numFmtId="169" formatCode="0.0000\x"/>
    <numFmt numFmtId="170" formatCode="dd\-mmm\-yyyy"/>
    <numFmt numFmtId="171" formatCode="0.000\x"/>
    <numFmt numFmtId="172" formatCode="#,##0.0"/>
    <numFmt numFmtId="173" formatCode="0.0%"/>
    <numFmt numFmtId="174" formatCode="\$0.00"/>
    <numFmt numFmtId="175" formatCode="0.0"/>
    <numFmt numFmtId="176" formatCode="0%;[Red]\(0%\);\-"/>
  </numFmts>
  <fonts count="15">
    <font>
      <sz val="11"/>
      <name val="Carlito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sz val="9"/>
      <color rgb="FF595959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sz val="9"/>
      <color rgb="FF0563C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0" fontId="1" fillId="0" borderId="2" xfId="0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3" fontId="8" fillId="0" borderId="0" xfId="0" applyNumberFormat="1" applyFont="1" applyAlignment="1">
      <alignment vertical="center"/>
    </xf>
    <xf numFmtId="174" fontId="8" fillId="0" borderId="0" xfId="0" applyNumberFormat="1" applyFont="1" applyAlignment="1">
      <alignment vertical="center"/>
    </xf>
    <xf numFmtId="175" fontId="8" fillId="0" borderId="0" xfId="0" applyNumberFormat="1" applyFont="1" applyAlignment="1">
      <alignment vertical="center"/>
    </xf>
    <xf numFmtId="173" fontId="5" fillId="4" borderId="1" xfId="0" applyNumberFormat="1" applyFont="1" applyFill="1" applyBorder="1" applyAlignment="1">
      <alignment horizontal="right" vertical="center"/>
    </xf>
    <xf numFmtId="164" fontId="13" fillId="0" borderId="0" xfId="0" applyNumberFormat="1" applyFont="1" applyAlignment="1">
      <alignment vertical="center"/>
    </xf>
    <xf numFmtId="173" fontId="13" fillId="0" borderId="0" xfId="0" applyNumberFormat="1" applyFont="1" applyAlignment="1">
      <alignment vertical="center"/>
    </xf>
    <xf numFmtId="0" fontId="1" fillId="6" borderId="0" xfId="0" applyFont="1" applyFill="1" applyAlignment="1">
      <alignment vertical="center"/>
    </xf>
    <xf numFmtId="175" fontId="8" fillId="6" borderId="0" xfId="0" applyNumberFormat="1" applyFont="1" applyFill="1" applyAlignment="1">
      <alignment vertical="center"/>
    </xf>
    <xf numFmtId="173" fontId="8" fillId="6" borderId="0" xfId="0" applyNumberFormat="1" applyFont="1" applyFill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71" fontId="6" fillId="0" borderId="0" xfId="0" applyNumberFormat="1" applyFont="1" applyAlignment="1">
      <alignment horizontal="right" vertical="center"/>
    </xf>
    <xf numFmtId="173" fontId="6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73" fontId="1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73" fontId="9" fillId="0" borderId="2" xfId="0" applyNumberFormat="1" applyFont="1" applyBorder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72" fontId="6" fillId="0" borderId="0" xfId="0" applyNumberFormat="1" applyFont="1" applyAlignment="1">
      <alignment horizontal="right" vertical="center"/>
    </xf>
    <xf numFmtId="170" fontId="8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  <xf numFmtId="173" fontId="8" fillId="0" borderId="0" xfId="0" applyNumberFormat="1" applyFont="1" applyAlignment="1">
      <alignment horizontal="right" vertical="center"/>
    </xf>
    <xf numFmtId="172" fontId="8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175" fontId="8" fillId="0" borderId="0" xfId="0" applyNumberFormat="1" applyFont="1" applyAlignment="1">
      <alignment horizontal="right" vertical="center"/>
    </xf>
    <xf numFmtId="175" fontId="1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5" fontId="9" fillId="6" borderId="0" xfId="0" applyNumberFormat="1" applyFont="1" applyFill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173" fontId="9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75" fontId="11" fillId="0" borderId="0" xfId="0" applyNumberFormat="1" applyFont="1" applyAlignment="1">
      <alignment horizontal="right" vertical="center"/>
    </xf>
    <xf numFmtId="173" fontId="11" fillId="0" borderId="0" xfId="0" applyNumberFormat="1" applyFont="1" applyAlignment="1">
      <alignment horizontal="right" vertical="center"/>
    </xf>
    <xf numFmtId="175" fontId="12" fillId="7" borderId="0" xfId="0" applyNumberFormat="1" applyFont="1" applyFill="1" applyAlignment="1">
      <alignment vertical="center"/>
    </xf>
    <xf numFmtId="173" fontId="12" fillId="7" borderId="0" xfId="0" applyNumberFormat="1" applyFont="1" applyFill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174" fontId="1" fillId="0" borderId="0" xfId="0" applyNumberFormat="1" applyFont="1" applyAlignment="1">
      <alignment horizontal="right" vertical="center"/>
    </xf>
    <xf numFmtId="175" fontId="9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4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UFCF ($m)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UFCF</c:v>
          </c:tx>
          <c:marker>
            <c:symbol val="none"/>
          </c:marker>
          <c:cat>
            <c:strRef>
              <c:f>Summary!$L$2:$L$6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Summary!$M$2:$M$6</c:f>
              <c:numCache>
                <c:formatCode>General</c:formatCode>
                <c:ptCount val="5"/>
                <c:pt idx="0">
                  <c:v>12657.782624740295</c:v>
                </c:pt>
                <c:pt idx="1">
                  <c:v>13884.25252337597</c:v>
                </c:pt>
                <c:pt idx="2">
                  <c:v>12589.170923581274</c:v>
                </c:pt>
                <c:pt idx="3">
                  <c:v>13450.780170247037</c:v>
                </c:pt>
                <c:pt idx="4">
                  <c:v>15205.398166579205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5C-4B27-A037-61C2DC253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Market vs Implied (GBX)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GBX</c:v>
          </c:tx>
          <c:invertIfNegative val="1"/>
          <c:cat>
            <c:strRef>
              <c:f>Summary!$L$9:$L$10</c:f>
              <c:strCache>
                <c:ptCount val="2"/>
                <c:pt idx="0">
                  <c:v>Market</c:v>
                </c:pt>
                <c:pt idx="1">
                  <c:v>Implied</c:v>
                </c:pt>
              </c:strCache>
            </c:strRef>
          </c:cat>
          <c:val>
            <c:numRef>
              <c:f>Summary!$M$9:$M$10</c:f>
              <c:numCache>
                <c:formatCode>General</c:formatCode>
                <c:ptCount val="2"/>
                <c:pt idx="0">
                  <c:v>539.70000000000005</c:v>
                </c:pt>
                <c:pt idx="1">
                  <c:v>739.28220597383199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0-4576-94F1-6A8FD7B9E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zoomScale="68" workbookViewId="0">
      <selection sqref="A1:J1"/>
    </sheetView>
  </sheetViews>
  <sheetFormatPr defaultRowHeight="14.25"/>
  <cols>
    <col min="1" max="1" width="28" customWidth="1"/>
    <col min="2" max="3" width="14" customWidth="1"/>
    <col min="4" max="4" width="29" customWidth="1"/>
    <col min="5" max="5" width="3" customWidth="1"/>
    <col min="6" max="6" width="27" customWidth="1"/>
    <col min="7" max="8" width="13" customWidth="1"/>
    <col min="9" max="9" width="11" customWidth="1"/>
    <col min="10" max="10" width="13" customWidth="1"/>
  </cols>
  <sheetData>
    <row r="1" spans="1:26" ht="24" customHeight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1"/>
      <c r="L1" s="1" t="s">
        <v>1</v>
      </c>
      <c r="M1" s="1" t="s">
        <v>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3</v>
      </c>
      <c r="B2" s="82"/>
      <c r="C2" s="82"/>
      <c r="D2" s="82"/>
      <c r="E2" s="82"/>
      <c r="F2" s="82"/>
      <c r="G2" s="82"/>
      <c r="H2" s="82"/>
      <c r="I2" s="82"/>
      <c r="J2" s="82"/>
      <c r="K2" s="1"/>
      <c r="L2" s="1" t="s">
        <v>4</v>
      </c>
      <c r="M2" s="1">
        <f>Forecast!F48</f>
        <v>12657.782624740295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5</v>
      </c>
      <c r="M3" s="1">
        <f>Forecast!G48</f>
        <v>13884.25252337597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100000000000001" customHeight="1">
      <c r="A4" s="83" t="s">
        <v>6</v>
      </c>
      <c r="B4" s="83"/>
      <c r="C4" s="83"/>
      <c r="D4" s="83"/>
      <c r="E4" s="1"/>
      <c r="F4" s="83" t="s">
        <v>7</v>
      </c>
      <c r="G4" s="83"/>
      <c r="H4" s="83"/>
      <c r="I4" s="83"/>
      <c r="J4" s="83"/>
      <c r="K4" s="1"/>
      <c r="L4" s="1" t="s">
        <v>8</v>
      </c>
      <c r="M4" s="1">
        <f>Forecast!H48</f>
        <v>12589.170923581274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100000000000001" customHeight="1">
      <c r="A5" s="3" t="s">
        <v>9</v>
      </c>
      <c r="B5" s="3" t="s">
        <v>10</v>
      </c>
      <c r="C5" s="3" t="s">
        <v>11</v>
      </c>
      <c r="D5" s="3" t="s">
        <v>12</v>
      </c>
      <c r="E5" s="1"/>
      <c r="F5" s="3" t="s">
        <v>9</v>
      </c>
      <c r="G5" s="3" t="s">
        <v>4</v>
      </c>
      <c r="H5" s="3" t="s">
        <v>13</v>
      </c>
      <c r="I5" s="3" t="s">
        <v>11</v>
      </c>
      <c r="J5" s="3" t="s">
        <v>14</v>
      </c>
      <c r="K5" s="1"/>
      <c r="L5" s="1" t="s">
        <v>15</v>
      </c>
      <c r="M5" s="1">
        <f>Forecast!I48</f>
        <v>13450.780170247037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100000000000001" customHeight="1">
      <c r="A6" s="1" t="s">
        <v>16</v>
      </c>
      <c r="B6" s="65">
        <f>DCF!C57</f>
        <v>739.28220597383199</v>
      </c>
      <c r="C6" s="1" t="s">
        <v>17</v>
      </c>
      <c r="D6" s="1" t="s">
        <v>18</v>
      </c>
      <c r="E6" s="1"/>
      <c r="F6" s="1" t="s">
        <v>19</v>
      </c>
      <c r="G6" s="29">
        <f>Forecast!F7</f>
        <v>87</v>
      </c>
      <c r="H6" s="29">
        <f>Forecast!J7</f>
        <v>74.838251445086726</v>
      </c>
      <c r="I6" s="1" t="s">
        <v>20</v>
      </c>
      <c r="J6" s="1" t="s">
        <v>21</v>
      </c>
      <c r="K6" s="1"/>
      <c r="L6" s="1" t="s">
        <v>13</v>
      </c>
      <c r="M6" s="1">
        <f>Forecast!J48</f>
        <v>15205.398166579205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100000000000001" customHeight="1">
      <c r="A7" s="1" t="s">
        <v>22</v>
      </c>
      <c r="B7" s="65">
        <f>DCF!C58</f>
        <v>539.70000000000005</v>
      </c>
      <c r="C7" s="1" t="s">
        <v>17</v>
      </c>
      <c r="D7" s="1" t="s">
        <v>23</v>
      </c>
      <c r="E7" s="1"/>
      <c r="F7" s="1" t="s">
        <v>24</v>
      </c>
      <c r="G7" s="30">
        <f>Forecast!F8</f>
        <v>1504.131506849315</v>
      </c>
      <c r="H7" s="30">
        <f>Forecast!J8</f>
        <v>1613.6009694124518</v>
      </c>
      <c r="I7" s="1" t="s">
        <v>25</v>
      </c>
      <c r="J7" s="1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100000000000001" customHeight="1">
      <c r="A8" s="1" t="s">
        <v>26</v>
      </c>
      <c r="B8" s="66">
        <f>DCF!C59</f>
        <v>0.36980212335340368</v>
      </c>
      <c r="C8" s="1" t="s">
        <v>27</v>
      </c>
      <c r="D8" s="1" t="s">
        <v>28</v>
      </c>
      <c r="E8" s="1"/>
      <c r="F8" s="1" t="s">
        <v>29</v>
      </c>
      <c r="G8" s="30">
        <f>Forecast!F10</f>
        <v>720.86849315068503</v>
      </c>
      <c r="H8" s="30">
        <f>Forecast!J10</f>
        <v>731.33733059931512</v>
      </c>
      <c r="I8" s="1" t="s">
        <v>25</v>
      </c>
      <c r="J8" s="1" t="s">
        <v>21</v>
      </c>
      <c r="K8" s="1"/>
      <c r="L8" s="1" t="s">
        <v>30</v>
      </c>
      <c r="M8" s="1" t="s">
        <v>17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100000000000001" customHeight="1">
      <c r="A9" s="1" t="s">
        <v>31</v>
      </c>
      <c r="B9" s="32">
        <f>DCF!C33</f>
        <v>223978.97431275086</v>
      </c>
      <c r="C9" s="1" t="s">
        <v>32</v>
      </c>
      <c r="D9" s="1" t="s">
        <v>33</v>
      </c>
      <c r="E9" s="1"/>
      <c r="F9" s="1" t="s">
        <v>34</v>
      </c>
      <c r="G9" s="13">
        <f>Forecast!F31</f>
        <v>30131.811987639598</v>
      </c>
      <c r="H9" s="13">
        <f>Forecast!J31</f>
        <v>24689.340928618454</v>
      </c>
      <c r="I9" s="1" t="s">
        <v>32</v>
      </c>
      <c r="J9" s="1" t="s">
        <v>21</v>
      </c>
      <c r="K9" s="1"/>
      <c r="L9" s="1" t="s">
        <v>35</v>
      </c>
      <c r="M9" s="1">
        <f>DCF!C58</f>
        <v>539.70000000000005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100000000000001" customHeight="1">
      <c r="A10" s="1" t="s">
        <v>36</v>
      </c>
      <c r="B10" s="32">
        <f>DCF!C51</f>
        <v>158383.57947975269</v>
      </c>
      <c r="C10" s="1" t="s">
        <v>32</v>
      </c>
      <c r="D10" s="1" t="s">
        <v>37</v>
      </c>
      <c r="E10" s="1"/>
      <c r="F10" s="1" t="s">
        <v>38</v>
      </c>
      <c r="G10" s="13">
        <f>Forecast!F48</f>
        <v>12657.782624740295</v>
      </c>
      <c r="H10" s="13">
        <f>Forecast!J48</f>
        <v>15205.398166579205</v>
      </c>
      <c r="I10" s="1" t="s">
        <v>32</v>
      </c>
      <c r="J10" s="1" t="s">
        <v>21</v>
      </c>
      <c r="K10" s="1"/>
      <c r="L10" s="1" t="s">
        <v>39</v>
      </c>
      <c r="M10" s="1">
        <f>DCF!C57</f>
        <v>739.28220597383199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100000000000001" customHeight="1">
      <c r="A11" s="1" t="s">
        <v>40</v>
      </c>
      <c r="B11" s="33">
        <f>DCF!C18</f>
        <v>7.0552973556930632E-2</v>
      </c>
      <c r="C11" s="1" t="s">
        <v>27</v>
      </c>
      <c r="D11" s="1" t="s">
        <v>41</v>
      </c>
      <c r="E11" s="1"/>
      <c r="F11" s="1" t="s">
        <v>42</v>
      </c>
      <c r="G11" s="28">
        <f>Forecast!F49</f>
        <v>5.4877873485437642E-2</v>
      </c>
      <c r="H11" s="28">
        <f>Forecast!J49</f>
        <v>7.663604057963315E-2</v>
      </c>
      <c r="I11" s="1" t="s">
        <v>27</v>
      </c>
      <c r="J11" s="1" t="s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100000000000001" customHeight="1">
      <c r="A12" s="1" t="s">
        <v>43</v>
      </c>
      <c r="B12" s="33">
        <f>DCF!C17</f>
        <v>1.4999999999999999E-2</v>
      </c>
      <c r="C12" s="1" t="s">
        <v>27</v>
      </c>
      <c r="D12" s="1" t="s">
        <v>44</v>
      </c>
      <c r="E12" s="1"/>
      <c r="F12" s="1" t="s">
        <v>45</v>
      </c>
      <c r="G12" s="28">
        <f>DCF!C34</f>
        <v>0.76704264681549628</v>
      </c>
      <c r="H12" s="28">
        <f>DCF!C34</f>
        <v>0.76704264681549628</v>
      </c>
      <c r="I12" s="1" t="s">
        <v>27</v>
      </c>
      <c r="J12" s="1" t="s">
        <v>33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10000000000000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10000000000000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100000000000001" customHeight="1">
      <c r="A15" s="83" t="s">
        <v>46</v>
      </c>
      <c r="B15" s="83"/>
      <c r="C15" s="83"/>
      <c r="D15" s="83"/>
      <c r="E15" s="1"/>
      <c r="F15" s="83" t="s">
        <v>47</v>
      </c>
      <c r="G15" s="83"/>
      <c r="H15" s="83"/>
      <c r="I15" s="83"/>
      <c r="J15" s="8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100000000000001" customHeight="1">
      <c r="A16" s="3" t="s">
        <v>48</v>
      </c>
      <c r="B16" s="3" t="s">
        <v>49</v>
      </c>
      <c r="C16" s="3" t="s">
        <v>26</v>
      </c>
      <c r="D16" s="3" t="s">
        <v>50</v>
      </c>
      <c r="E16" s="1"/>
      <c r="F16" s="80" t="s">
        <v>51</v>
      </c>
      <c r="G16" s="80"/>
      <c r="H16" s="80"/>
      <c r="I16" s="80" t="s">
        <v>52</v>
      </c>
      <c r="J16" s="8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100000000000001" customHeight="1">
      <c r="A17" s="1" t="s">
        <v>53</v>
      </c>
      <c r="B17" s="30">
        <f>Sensitivity!L16</f>
        <v>515.18771126514196</v>
      </c>
      <c r="C17" s="28">
        <f>Sensitivity!L17</f>
        <v>-4.5418359708834677E-2</v>
      </c>
      <c r="D17" s="1" t="s">
        <v>54</v>
      </c>
      <c r="E17" s="1"/>
      <c r="F17" s="78" t="s">
        <v>55</v>
      </c>
      <c r="G17" s="78"/>
      <c r="H17" s="78"/>
      <c r="I17" s="79" t="str">
        <f>IF(DCF!C18&gt;DCF!C17,"OK","CHECK")</f>
        <v>OK</v>
      </c>
      <c r="J17" s="7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100000000000001" customHeight="1">
      <c r="A18" s="34" t="s">
        <v>56</v>
      </c>
      <c r="B18" s="35">
        <f>Sensitivity!M16</f>
        <v>739.28220597383199</v>
      </c>
      <c r="C18" s="36">
        <f>Sensitivity!M17</f>
        <v>0.36980212335340368</v>
      </c>
      <c r="D18" s="34" t="s">
        <v>57</v>
      </c>
      <c r="E18" s="1"/>
      <c r="F18" s="78" t="s">
        <v>58</v>
      </c>
      <c r="G18" s="78"/>
      <c r="H18" s="78"/>
      <c r="I18" s="79" t="str">
        <f>IF(ABS(Sensitivity!E9-DCF!C57)&lt;0.01,"OK","CHECK")</f>
        <v>OK</v>
      </c>
      <c r="J18" s="7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100000000000001" customHeight="1">
      <c r="A19" s="1" t="s">
        <v>59</v>
      </c>
      <c r="B19" s="30">
        <f>Sensitivity!N16</f>
        <v>950.63020765671013</v>
      </c>
      <c r="C19" s="28">
        <f>Sensitivity!N17</f>
        <v>0.76140486873579771</v>
      </c>
      <c r="D19" s="1" t="s">
        <v>60</v>
      </c>
      <c r="E19" s="1"/>
      <c r="F19" s="78" t="s">
        <v>61</v>
      </c>
      <c r="G19" s="78"/>
      <c r="H19" s="78"/>
      <c r="I19" s="79" t="str">
        <f>IF(ABS(Sensitivity!M16-DCF!C57)&lt;0.01,"OK","CHECK")</f>
        <v>OK</v>
      </c>
      <c r="J19" s="7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100000000000001" customHeight="1">
      <c r="A22" s="4"/>
      <c r="B22" s="4"/>
      <c r="C22" s="4"/>
      <c r="D22" s="4"/>
      <c r="E22" s="4"/>
      <c r="F22" s="4"/>
      <c r="G22" s="1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100000000000001" customHeight="1">
      <c r="A23" s="4"/>
      <c r="B23" s="4"/>
      <c r="C23" s="4"/>
      <c r="D23" s="4"/>
      <c r="E23" s="4"/>
      <c r="F23" s="4"/>
      <c r="G23" s="1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100000000000001" customHeight="1">
      <c r="A24" s="1"/>
      <c r="B24" s="1"/>
      <c r="C24" s="1"/>
      <c r="D24" s="1"/>
      <c r="E24" s="1"/>
      <c r="F24" s="1"/>
      <c r="G24" s="1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4">
    <mergeCell ref="A1:J1"/>
    <mergeCell ref="A2:J2"/>
    <mergeCell ref="A4:D4"/>
    <mergeCell ref="F4:J4"/>
    <mergeCell ref="A15:D15"/>
    <mergeCell ref="F15:J15"/>
    <mergeCell ref="F19:H19"/>
    <mergeCell ref="I19:J19"/>
    <mergeCell ref="F16:H16"/>
    <mergeCell ref="I16:J16"/>
    <mergeCell ref="F17:H17"/>
    <mergeCell ref="I17:J17"/>
    <mergeCell ref="F18:H18"/>
    <mergeCell ref="I18:J18"/>
  </mergeCells>
  <conditionalFormatting sqref="H17:H19">
    <cfRule type="expression" dxfId="3" priority="1">
      <formula>H17="CHECK"</formula>
    </cfRule>
    <cfRule type="expression" dxfId="2" priority="2">
      <formula>H17="OK"</formula>
    </cfRule>
  </conditionalFormatting>
  <conditionalFormatting sqref="I17:J19">
    <cfRule type="expression" dxfId="1" priority="3">
      <formula>I17="CHECK"</formula>
    </cfRule>
    <cfRule type="expression" dxfId="0" priority="4">
      <formula>I17="OK"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opLeftCell="A54" workbookViewId="0">
      <selection sqref="A1:H1"/>
    </sheetView>
  </sheetViews>
  <sheetFormatPr defaultRowHeight="14.25"/>
  <cols>
    <col min="1" max="1" width="31" customWidth="1"/>
    <col min="2" max="2" width="11" customWidth="1"/>
    <col min="3" max="5" width="12" customWidth="1"/>
    <col min="6" max="6" width="30" customWidth="1"/>
    <col min="7" max="7" width="10" customWidth="1"/>
    <col min="8" max="8" width="14" customWidth="1"/>
  </cols>
  <sheetData>
    <row r="1" spans="1:26" ht="24" customHeight="1">
      <c r="A1" s="81" t="s">
        <v>62</v>
      </c>
      <c r="B1" s="81"/>
      <c r="C1" s="81"/>
      <c r="D1" s="81"/>
      <c r="E1" s="81"/>
      <c r="F1" s="81"/>
      <c r="G1" s="81"/>
      <c r="H1" s="8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63</v>
      </c>
      <c r="B2" s="82"/>
      <c r="C2" s="82"/>
      <c r="D2" s="82"/>
      <c r="E2" s="82"/>
      <c r="F2" s="82"/>
      <c r="G2" s="82"/>
      <c r="H2" s="8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100000000000001" customHeight="1">
      <c r="A4" s="83" t="s">
        <v>64</v>
      </c>
      <c r="B4" s="83"/>
      <c r="C4" s="83"/>
      <c r="D4" s="83"/>
      <c r="E4" s="83"/>
      <c r="F4" s="83"/>
      <c r="G4" s="83"/>
      <c r="H4" s="8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100000000000001" customHeight="1">
      <c r="A5" s="3" t="s">
        <v>65</v>
      </c>
      <c r="B5" s="3" t="s">
        <v>11</v>
      </c>
      <c r="C5" s="37" t="s">
        <v>4</v>
      </c>
      <c r="D5" s="37" t="s">
        <v>5</v>
      </c>
      <c r="E5" s="37" t="s">
        <v>8</v>
      </c>
      <c r="F5" s="37" t="s">
        <v>15</v>
      </c>
      <c r="G5" s="37" t="s">
        <v>13</v>
      </c>
      <c r="H5" s="3" t="s">
        <v>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100000000000001" customHeight="1">
      <c r="A6" s="1" t="s">
        <v>66</v>
      </c>
      <c r="B6" s="5" t="s">
        <v>32</v>
      </c>
      <c r="C6" s="7">
        <v>230653.66459761158</v>
      </c>
      <c r="D6" s="7">
        <v>182932.21674982988</v>
      </c>
      <c r="E6" s="7">
        <v>178489.93842777604</v>
      </c>
      <c r="F6" s="7">
        <v>189809.6068454909</v>
      </c>
      <c r="G6" s="7">
        <v>198410.53963088227</v>
      </c>
      <c r="H6" s="38" t="s">
        <v>67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100000000000001" customHeight="1">
      <c r="A7" s="1" t="s">
        <v>19</v>
      </c>
      <c r="B7" s="5" t="s">
        <v>20</v>
      </c>
      <c r="C7" s="8">
        <v>87</v>
      </c>
      <c r="D7" s="8">
        <v>69</v>
      </c>
      <c r="E7" s="8">
        <v>67.324421965317924</v>
      </c>
      <c r="F7" s="8">
        <v>71.594075144508679</v>
      </c>
      <c r="G7" s="8">
        <v>74.838251445086726</v>
      </c>
      <c r="H7" s="38" t="s">
        <v>68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100000000000001" customHeight="1">
      <c r="A8" s="1" t="s">
        <v>69</v>
      </c>
      <c r="B8" s="5" t="s">
        <v>27</v>
      </c>
      <c r="C8" s="9">
        <v>0.69142911842612431</v>
      </c>
      <c r="D8" s="9">
        <v>0.69142911842612431</v>
      </c>
      <c r="E8" s="9">
        <v>0.69142911842612431</v>
      </c>
      <c r="F8" s="9">
        <v>0.69142911842612431</v>
      </c>
      <c r="G8" s="9">
        <v>0.69142911842612431</v>
      </c>
      <c r="H8" s="38" t="s">
        <v>70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100000000000001" customHeight="1">
      <c r="A9" s="1" t="s">
        <v>24</v>
      </c>
      <c r="B9" s="5" t="s">
        <v>25</v>
      </c>
      <c r="C9" s="10">
        <v>1504.131506849315</v>
      </c>
      <c r="D9" s="10">
        <v>1498.6237725753424</v>
      </c>
      <c r="E9" s="10">
        <v>1502.7873744923286</v>
      </c>
      <c r="F9" s="10">
        <v>1543.3782810300354</v>
      </c>
      <c r="G9" s="10">
        <v>1613.6009694124518</v>
      </c>
      <c r="H9" s="38" t="s">
        <v>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100000000000001" customHeight="1">
      <c r="A10" s="1" t="s">
        <v>72</v>
      </c>
      <c r="B10" s="5" t="s">
        <v>27</v>
      </c>
      <c r="C10" s="9">
        <v>0.65322904151521122</v>
      </c>
      <c r="D10" s="9">
        <v>0.64900000000000002</v>
      </c>
      <c r="E10" s="9">
        <v>0.64900000000000002</v>
      </c>
      <c r="F10" s="9">
        <v>0.64900000000000002</v>
      </c>
      <c r="G10" s="9">
        <v>0.64900000000000002</v>
      </c>
      <c r="H10" s="38" t="s">
        <v>73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100000000000001" customHeight="1">
      <c r="A11" s="1" t="s">
        <v>74</v>
      </c>
      <c r="B11" s="5" t="s">
        <v>75</v>
      </c>
      <c r="C11" s="8">
        <v>13.986171421910063</v>
      </c>
      <c r="D11" s="8">
        <v>14</v>
      </c>
      <c r="E11" s="8">
        <v>14</v>
      </c>
      <c r="F11" s="8">
        <v>14</v>
      </c>
      <c r="G11" s="8">
        <v>14</v>
      </c>
      <c r="H11" s="38" t="s">
        <v>73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100000000000001" customHeight="1">
      <c r="A12" s="1" t="s">
        <v>76</v>
      </c>
      <c r="B12" s="5" t="s">
        <v>32</v>
      </c>
      <c r="C12" s="7">
        <v>660</v>
      </c>
      <c r="D12" s="7">
        <v>400</v>
      </c>
      <c r="E12" s="7">
        <v>400</v>
      </c>
      <c r="F12" s="7">
        <v>400</v>
      </c>
      <c r="G12" s="7">
        <v>400</v>
      </c>
      <c r="H12" s="38" t="s">
        <v>67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100000000000001" customHeight="1">
      <c r="A13" s="1" t="s">
        <v>77</v>
      </c>
      <c r="B13" s="5" t="s">
        <v>78</v>
      </c>
      <c r="C13" s="8">
        <v>3.5672799999999998</v>
      </c>
      <c r="D13" s="8">
        <v>3.4324699999999999</v>
      </c>
      <c r="E13" s="8">
        <v>4.0754099999999998</v>
      </c>
      <c r="F13" s="8">
        <v>4.3450300000000004</v>
      </c>
      <c r="G13" s="8">
        <v>5.1746299999999996</v>
      </c>
      <c r="H13" s="38" t="s">
        <v>68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100000000000001" customHeight="1">
      <c r="A14" s="1" t="s">
        <v>79</v>
      </c>
      <c r="B14" s="5" t="s">
        <v>78</v>
      </c>
      <c r="C14" s="8">
        <v>3.3617066666666666</v>
      </c>
      <c r="D14" s="8">
        <v>3.3617066666666666</v>
      </c>
      <c r="E14" s="8">
        <v>3.3617066666666666</v>
      </c>
      <c r="F14" s="8">
        <v>3.3617066666666666</v>
      </c>
      <c r="G14" s="8">
        <v>3.3617066666666666</v>
      </c>
      <c r="H14" s="38" t="s">
        <v>70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100000000000001" customHeight="1">
      <c r="A15" s="1" t="s">
        <v>80</v>
      </c>
      <c r="B15" s="5" t="s">
        <v>27</v>
      </c>
      <c r="C15" s="9">
        <v>0.11</v>
      </c>
      <c r="D15" s="9">
        <v>0.11</v>
      </c>
      <c r="E15" s="9">
        <v>0.11</v>
      </c>
      <c r="F15" s="9">
        <v>0.11</v>
      </c>
      <c r="G15" s="9">
        <v>0.11</v>
      </c>
      <c r="H15" s="38" t="s">
        <v>70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100000000000001" customHeight="1">
      <c r="A16" s="1" t="s">
        <v>81</v>
      </c>
      <c r="B16" s="5" t="s">
        <v>82</v>
      </c>
      <c r="C16" s="10">
        <v>5.8</v>
      </c>
      <c r="D16" s="10">
        <v>5.8</v>
      </c>
      <c r="E16" s="10">
        <v>5.8</v>
      </c>
      <c r="F16" s="10">
        <v>5.8</v>
      </c>
      <c r="G16" s="10">
        <v>5.8</v>
      </c>
      <c r="H16" s="38" t="s">
        <v>70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100000000000001" customHeight="1">
      <c r="A17" s="1" t="s">
        <v>29</v>
      </c>
      <c r="B17" s="5" t="s">
        <v>25</v>
      </c>
      <c r="C17" s="10">
        <v>720.86849315068503</v>
      </c>
      <c r="D17" s="10">
        <v>721.32506849315075</v>
      </c>
      <c r="E17" s="10">
        <v>751.75881506849316</v>
      </c>
      <c r="F17" s="10">
        <v>756.67087431506855</v>
      </c>
      <c r="G17" s="10">
        <v>731.33733059931512</v>
      </c>
      <c r="H17" s="38" t="s">
        <v>71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100000000000001" customHeight="1">
      <c r="A18" s="1" t="s">
        <v>83</v>
      </c>
      <c r="B18" s="5" t="s">
        <v>27</v>
      </c>
      <c r="C18" s="9">
        <v>0.88606249574776108</v>
      </c>
      <c r="D18" s="9">
        <v>0.88200000000000001</v>
      </c>
      <c r="E18" s="9">
        <v>0.88200000000000001</v>
      </c>
      <c r="F18" s="9">
        <v>0.88200000000000001</v>
      </c>
      <c r="G18" s="9">
        <v>0.88200000000000001</v>
      </c>
      <c r="H18" s="38" t="s">
        <v>73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100000000000001" customHeight="1">
      <c r="A19" s="1" t="s">
        <v>84</v>
      </c>
      <c r="B19" s="5" t="s">
        <v>75</v>
      </c>
      <c r="C19" s="8">
        <v>16.41410475187844</v>
      </c>
      <c r="D19" s="8">
        <v>16.5</v>
      </c>
      <c r="E19" s="8">
        <v>16.5</v>
      </c>
      <c r="F19" s="8">
        <v>16.5</v>
      </c>
      <c r="G19" s="8">
        <v>16.5</v>
      </c>
      <c r="H19" s="38" t="s">
        <v>73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100000000000001" customHeight="1">
      <c r="A20" s="1" t="s">
        <v>85</v>
      </c>
      <c r="B20" s="5" t="s">
        <v>32</v>
      </c>
      <c r="C20" s="7">
        <v>98</v>
      </c>
      <c r="D20" s="7">
        <v>100</v>
      </c>
      <c r="E20" s="7">
        <v>100</v>
      </c>
      <c r="F20" s="7">
        <v>100</v>
      </c>
      <c r="G20" s="7">
        <v>100</v>
      </c>
      <c r="H20" s="38" t="s">
        <v>67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100000000000001" customHeight="1">
      <c r="A21" s="1" t="s">
        <v>86</v>
      </c>
      <c r="B21" s="5" t="s">
        <v>32</v>
      </c>
      <c r="C21" s="7">
        <v>4830</v>
      </c>
      <c r="D21" s="7">
        <v>3555</v>
      </c>
      <c r="E21" s="7">
        <v>3626.1</v>
      </c>
      <c r="F21" s="7">
        <v>3698.6219999999998</v>
      </c>
      <c r="G21" s="7">
        <v>3772.5944399999998</v>
      </c>
      <c r="H21" s="38" t="s">
        <v>67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100000000000001" customHeight="1">
      <c r="A22" s="1" t="s">
        <v>87</v>
      </c>
      <c r="B22" s="5" t="s">
        <v>32</v>
      </c>
      <c r="C22" s="7">
        <v>7177</v>
      </c>
      <c r="D22" s="7">
        <v>4074.813990993393</v>
      </c>
      <c r="E22" s="7">
        <v>3121.4635984251422</v>
      </c>
      <c r="F22" s="7">
        <v>3121.4635984251422</v>
      </c>
      <c r="G22" s="7">
        <v>3121.4635984251422</v>
      </c>
      <c r="H22" s="38" t="s">
        <v>67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100000000000001" customHeight="1">
      <c r="A23" s="1" t="s">
        <v>88</v>
      </c>
      <c r="B23" s="5" t="s">
        <v>32</v>
      </c>
      <c r="C23" s="7">
        <v>-1000</v>
      </c>
      <c r="D23" s="7">
        <v>-900</v>
      </c>
      <c r="E23" s="7">
        <v>-900</v>
      </c>
      <c r="F23" s="7">
        <v>-900</v>
      </c>
      <c r="G23" s="7">
        <v>-900</v>
      </c>
      <c r="H23" s="38" t="s">
        <v>67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100000000000001" customHeight="1">
      <c r="A24" s="1" t="s">
        <v>89</v>
      </c>
      <c r="B24" s="5" t="s">
        <v>32</v>
      </c>
      <c r="C24" s="7">
        <v>21</v>
      </c>
      <c r="D24" s="7">
        <v>0</v>
      </c>
      <c r="E24" s="7">
        <v>0</v>
      </c>
      <c r="F24" s="7">
        <v>0</v>
      </c>
      <c r="G24" s="7">
        <v>0</v>
      </c>
      <c r="H24" s="38" t="s">
        <v>90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100000000000001" customHeight="1">
      <c r="A25" s="1" t="s">
        <v>91</v>
      </c>
      <c r="B25" s="5" t="s">
        <v>32</v>
      </c>
      <c r="C25" s="7">
        <v>2500</v>
      </c>
      <c r="D25" s="7">
        <v>2500</v>
      </c>
      <c r="E25" s="7">
        <v>2500</v>
      </c>
      <c r="F25" s="7">
        <v>2500</v>
      </c>
      <c r="G25" s="7">
        <v>2500</v>
      </c>
      <c r="H25" s="38" t="s">
        <v>67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100000000000001" customHeight="1">
      <c r="A26" s="1" t="s">
        <v>92</v>
      </c>
      <c r="B26" s="5" t="s">
        <v>32</v>
      </c>
      <c r="C26" s="7">
        <v>1352</v>
      </c>
      <c r="D26" s="7">
        <v>1352</v>
      </c>
      <c r="E26" s="7">
        <v>1352</v>
      </c>
      <c r="F26" s="7">
        <v>1352</v>
      </c>
      <c r="G26" s="7">
        <v>1352</v>
      </c>
      <c r="H26" s="38" t="s">
        <v>93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100000000000001" customHeight="1">
      <c r="A27" s="1" t="s">
        <v>94</v>
      </c>
      <c r="B27" s="5" t="s">
        <v>27</v>
      </c>
      <c r="C27" s="9">
        <v>0.375</v>
      </c>
      <c r="D27" s="9">
        <v>0.4</v>
      </c>
      <c r="E27" s="9">
        <v>0.4</v>
      </c>
      <c r="F27" s="9">
        <v>0.4</v>
      </c>
      <c r="G27" s="9">
        <v>0.4</v>
      </c>
      <c r="H27" s="38" t="s">
        <v>67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100000000000001" customHeight="1">
      <c r="A28" s="1" t="s">
        <v>95</v>
      </c>
      <c r="B28" s="5" t="s">
        <v>32</v>
      </c>
      <c r="C28" s="7">
        <v>4942</v>
      </c>
      <c r="D28" s="7">
        <v>5040.84</v>
      </c>
      <c r="E28" s="7">
        <v>5141.6567999999997</v>
      </c>
      <c r="F28" s="7">
        <v>5244.4899359999999</v>
      </c>
      <c r="G28" s="7">
        <v>5349.3797347199998</v>
      </c>
      <c r="H28" s="38" t="s">
        <v>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100000000000001" customHeight="1">
      <c r="A29" s="1" t="s">
        <v>96</v>
      </c>
      <c r="B29" s="5" t="s">
        <v>32</v>
      </c>
      <c r="C29" s="7">
        <v>13750</v>
      </c>
      <c r="D29" s="7">
        <v>14000</v>
      </c>
      <c r="E29" s="7">
        <v>14000</v>
      </c>
      <c r="F29" s="7">
        <v>14000</v>
      </c>
      <c r="G29" s="7">
        <v>14000</v>
      </c>
      <c r="H29" s="38" t="s">
        <v>67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100000000000001" customHeight="1">
      <c r="A30" s="1" t="s">
        <v>97</v>
      </c>
      <c r="B30" s="5" t="s">
        <v>32</v>
      </c>
      <c r="C30" s="7">
        <v>3100</v>
      </c>
      <c r="D30" s="7">
        <v>3100</v>
      </c>
      <c r="E30" s="7">
        <v>3100</v>
      </c>
      <c r="F30" s="7">
        <v>3100</v>
      </c>
      <c r="G30" s="7">
        <v>3100</v>
      </c>
      <c r="H30" s="38" t="s">
        <v>98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100000000000001" customHeight="1">
      <c r="A31" s="1" t="s">
        <v>99</v>
      </c>
      <c r="B31" s="5" t="s">
        <v>27</v>
      </c>
      <c r="C31" s="9">
        <v>3.4457443156310247E-2</v>
      </c>
      <c r="D31" s="9">
        <v>3.4457443156310247E-2</v>
      </c>
      <c r="E31" s="9">
        <v>3.4457443156310247E-2</v>
      </c>
      <c r="F31" s="9">
        <v>3.4457443156310247E-2</v>
      </c>
      <c r="G31" s="9">
        <v>3.4457443156310247E-2</v>
      </c>
      <c r="H31" s="38" t="s">
        <v>70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100000000000001" customHeight="1">
      <c r="A32" s="1" t="s">
        <v>100</v>
      </c>
      <c r="B32" s="5" t="s">
        <v>32</v>
      </c>
      <c r="C32" s="7">
        <v>2100</v>
      </c>
      <c r="D32" s="7">
        <v>2100</v>
      </c>
      <c r="E32" s="7">
        <v>2100</v>
      </c>
      <c r="F32" s="7">
        <v>2100</v>
      </c>
      <c r="G32" s="7">
        <v>2100</v>
      </c>
      <c r="H32" s="38" t="s">
        <v>93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100000000000001" customHeight="1">
      <c r="A33" s="1" t="s">
        <v>101</v>
      </c>
      <c r="B33" s="5" t="s">
        <v>32</v>
      </c>
      <c r="C33" s="7">
        <v>500</v>
      </c>
      <c r="D33" s="7">
        <v>500</v>
      </c>
      <c r="E33" s="7">
        <v>500</v>
      </c>
      <c r="F33" s="7">
        <v>500</v>
      </c>
      <c r="G33" s="7">
        <v>500</v>
      </c>
      <c r="H33" s="38" t="s">
        <v>93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100000000000001" customHeight="1">
      <c r="A34" s="1" t="s">
        <v>102</v>
      </c>
      <c r="B34" s="1" t="s">
        <v>103</v>
      </c>
      <c r="C34" s="39">
        <v>0.79217488754748133</v>
      </c>
      <c r="D34" s="39">
        <v>0.79217488754748133</v>
      </c>
      <c r="E34" s="39">
        <v>0.79217488754748133</v>
      </c>
      <c r="F34" s="39">
        <v>0.79217488754748133</v>
      </c>
      <c r="G34" s="39">
        <v>0.79217488754748133</v>
      </c>
      <c r="H34" s="38" t="s">
        <v>70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100000000000001" customHeight="1">
      <c r="A35" s="1"/>
      <c r="B35" s="1"/>
      <c r="C35" s="17"/>
      <c r="D35" s="17"/>
      <c r="E35" s="17"/>
      <c r="F35" s="17"/>
      <c r="G35" s="17"/>
      <c r="H35" s="1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100000000000001" customHeight="1">
      <c r="A36" s="1"/>
      <c r="B36" s="1"/>
      <c r="C36" s="17"/>
      <c r="D36" s="17"/>
      <c r="E36" s="17"/>
      <c r="F36" s="17"/>
      <c r="G36" s="17"/>
      <c r="H36" s="1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100000000000001" customHeight="1">
      <c r="A37" s="83" t="s">
        <v>104</v>
      </c>
      <c r="B37" s="83"/>
      <c r="C37" s="84"/>
      <c r="D37" s="84"/>
      <c r="E37" s="18"/>
      <c r="F37" s="84" t="s">
        <v>105</v>
      </c>
      <c r="G37" s="84"/>
      <c r="H37" s="8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100000000000001" customHeight="1">
      <c r="A38" s="3" t="s">
        <v>106</v>
      </c>
      <c r="B38" s="3" t="s">
        <v>11</v>
      </c>
      <c r="C38" s="3" t="s">
        <v>10</v>
      </c>
      <c r="D38" s="3" t="s">
        <v>14</v>
      </c>
      <c r="E38" s="17"/>
      <c r="F38" s="3" t="s">
        <v>106</v>
      </c>
      <c r="G38" s="3" t="s">
        <v>11</v>
      </c>
      <c r="H38" s="3" t="s">
        <v>10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100000000000001" customHeight="1">
      <c r="A39" s="25" t="s">
        <v>107</v>
      </c>
      <c r="B39" s="5" t="s">
        <v>27</v>
      </c>
      <c r="C39" s="40">
        <v>4.7699999999999999E-2</v>
      </c>
      <c r="D39" s="6" t="s">
        <v>108</v>
      </c>
      <c r="E39" s="17"/>
      <c r="F39" s="25" t="s">
        <v>109</v>
      </c>
      <c r="G39" s="5" t="s">
        <v>27</v>
      </c>
      <c r="H39" s="9">
        <v>1.4999999999999999E-2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100000000000001" customHeight="1">
      <c r="A40" s="25" t="s">
        <v>110</v>
      </c>
      <c r="B40" s="5" t="s">
        <v>27</v>
      </c>
      <c r="C40" s="40">
        <v>4.4200000000000003E-2</v>
      </c>
      <c r="D40" s="6" t="s">
        <v>111</v>
      </c>
      <c r="E40" s="17"/>
      <c r="F40" s="25" t="s">
        <v>112</v>
      </c>
      <c r="G40" s="5" t="s">
        <v>27</v>
      </c>
      <c r="H40" s="9">
        <v>0.1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100000000000001" customHeight="1">
      <c r="A41" s="25" t="s">
        <v>113</v>
      </c>
      <c r="B41" s="5" t="s">
        <v>103</v>
      </c>
      <c r="C41" s="39">
        <v>0.63</v>
      </c>
      <c r="D41" s="6" t="s">
        <v>114</v>
      </c>
      <c r="E41" s="17"/>
      <c r="F41" s="25" t="s">
        <v>115</v>
      </c>
      <c r="G41" s="5" t="s">
        <v>32</v>
      </c>
      <c r="H41" s="7">
        <v>58337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100000000000001" customHeight="1">
      <c r="A42" s="25" t="s">
        <v>116</v>
      </c>
      <c r="B42" s="5" t="s">
        <v>27</v>
      </c>
      <c r="C42" s="40">
        <v>0.25</v>
      </c>
      <c r="D42" s="6" t="s">
        <v>98</v>
      </c>
      <c r="E42" s="17"/>
      <c r="F42" s="25" t="s">
        <v>117</v>
      </c>
      <c r="G42" s="5" t="s">
        <v>32</v>
      </c>
      <c r="H42" s="7">
        <v>1082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100000000000001" customHeight="1">
      <c r="A43" s="25" t="s">
        <v>118</v>
      </c>
      <c r="B43" s="5" t="s">
        <v>27</v>
      </c>
      <c r="C43" s="40">
        <v>5.683162418620484E-2</v>
      </c>
      <c r="D43" s="6" t="s">
        <v>119</v>
      </c>
      <c r="E43" s="17"/>
      <c r="F43" s="25" t="s">
        <v>120</v>
      </c>
      <c r="G43" s="5" t="s">
        <v>32</v>
      </c>
      <c r="H43" s="7">
        <v>13316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100000000000001" customHeight="1">
      <c r="A44" s="25" t="s">
        <v>121</v>
      </c>
      <c r="B44" s="5" t="s">
        <v>32</v>
      </c>
      <c r="C44" s="7">
        <v>114566.61533946238</v>
      </c>
      <c r="D44" s="6" t="s">
        <v>122</v>
      </c>
      <c r="E44" s="17"/>
      <c r="F44" s="25" t="s">
        <v>123</v>
      </c>
      <c r="G44" s="5" t="s">
        <v>32</v>
      </c>
      <c r="H44" s="7">
        <v>13015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100000000000001" customHeight="1">
      <c r="A45" s="25" t="s">
        <v>124</v>
      </c>
      <c r="B45" s="5" t="s">
        <v>32</v>
      </c>
      <c r="C45" s="7">
        <v>81200</v>
      </c>
      <c r="D45" s="6" t="s">
        <v>67</v>
      </c>
      <c r="E45" s="17"/>
      <c r="F45" s="25" t="s">
        <v>125</v>
      </c>
      <c r="G45" s="5" t="s">
        <v>32</v>
      </c>
      <c r="H45" s="7">
        <v>4977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100000000000001" customHeight="1">
      <c r="A46" s="25" t="s">
        <v>126</v>
      </c>
      <c r="B46" s="5" t="s">
        <v>103</v>
      </c>
      <c r="C46" s="41">
        <f>C41*(1+(1-C42)*C45/C44)</f>
        <v>0.96488813374051485</v>
      </c>
      <c r="D46" s="17"/>
      <c r="E46" s="17"/>
      <c r="F46" s="25" t="s">
        <v>127</v>
      </c>
      <c r="G46" s="5" t="s">
        <v>32</v>
      </c>
      <c r="H46" s="7">
        <v>3099.75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100000000000001" customHeight="1">
      <c r="A47" s="25" t="s">
        <v>128</v>
      </c>
      <c r="B47" s="5" t="s">
        <v>27</v>
      </c>
      <c r="C47" s="42">
        <f>C39+C46*C40</f>
        <v>9.0348055511330766E-2</v>
      </c>
      <c r="D47" s="17"/>
      <c r="E47" s="17"/>
      <c r="F47" s="25" t="s">
        <v>129</v>
      </c>
      <c r="G47" s="5" t="s">
        <v>32</v>
      </c>
      <c r="H47" s="7">
        <v>5001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100000000000001" customHeight="1">
      <c r="A48" s="25" t="s">
        <v>130</v>
      </c>
      <c r="B48" s="5" t="s">
        <v>27</v>
      </c>
      <c r="C48" s="42">
        <f>C43*(1-C42)</f>
        <v>4.2623718139653627E-2</v>
      </c>
      <c r="D48" s="17"/>
      <c r="E48" s="17"/>
      <c r="F48" s="25" t="s">
        <v>131</v>
      </c>
      <c r="G48" s="5" t="s">
        <v>32</v>
      </c>
      <c r="H48" s="7">
        <v>9189.75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100000000000001" customHeight="1">
      <c r="A49" s="25" t="s">
        <v>132</v>
      </c>
      <c r="B49" s="5" t="s">
        <v>27</v>
      </c>
      <c r="C49" s="42">
        <f>C44/(C44+C45)</f>
        <v>0.58522039184670005</v>
      </c>
      <c r="D49" s="17"/>
      <c r="E49" s="17"/>
      <c r="F49" s="25" t="s">
        <v>133</v>
      </c>
      <c r="G49" s="5" t="s">
        <v>32</v>
      </c>
      <c r="H49" s="7">
        <v>17.1750408284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100000000000001" customHeight="1">
      <c r="A50" s="25" t="s">
        <v>134</v>
      </c>
      <c r="B50" s="5" t="s">
        <v>27</v>
      </c>
      <c r="C50" s="42">
        <f>C45/(C44+C45)</f>
        <v>0.41477960815329989</v>
      </c>
      <c r="D50" s="17"/>
      <c r="E50" s="17"/>
      <c r="F50" s="25" t="s">
        <v>135</v>
      </c>
      <c r="G50" s="5" t="s">
        <v>136</v>
      </c>
      <c r="H50" s="43">
        <v>8.6599999999999996E-2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100000000000001" customHeight="1">
      <c r="A51" s="67" t="s">
        <v>40</v>
      </c>
      <c r="B51" s="68" t="s">
        <v>27</v>
      </c>
      <c r="C51" s="44">
        <f>C49*C47+C50*C48</f>
        <v>7.0552973556930632E-2</v>
      </c>
      <c r="D51" s="17"/>
      <c r="E51" s="17"/>
      <c r="F51" s="25" t="s">
        <v>137</v>
      </c>
      <c r="G51" s="5" t="s">
        <v>32</v>
      </c>
      <c r="H51" s="7">
        <v>37168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100000000000001" customHeight="1">
      <c r="A52" s="1"/>
      <c r="B52" s="1"/>
      <c r="C52" s="17"/>
      <c r="D52" s="17"/>
      <c r="E52" s="17"/>
      <c r="F52" s="25" t="s">
        <v>138</v>
      </c>
      <c r="G52" s="5" t="s">
        <v>32</v>
      </c>
      <c r="H52" s="7">
        <v>762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100000000000001" customHeight="1">
      <c r="A53" s="1"/>
      <c r="B53" s="1"/>
      <c r="C53" s="17"/>
      <c r="D53" s="17"/>
      <c r="E53" s="17"/>
      <c r="F53" s="25" t="s">
        <v>139</v>
      </c>
      <c r="G53" s="5" t="s">
        <v>32</v>
      </c>
      <c r="H53" s="7">
        <v>6000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100000000000001" customHeight="1">
      <c r="A54" s="1"/>
      <c r="B54" s="1"/>
      <c r="C54" s="17"/>
      <c r="D54" s="17"/>
      <c r="E54" s="17"/>
      <c r="F54" s="25" t="s">
        <v>140</v>
      </c>
      <c r="G54" s="5" t="s">
        <v>141</v>
      </c>
      <c r="H54" s="7">
        <v>15849.646735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100000000000001" customHeight="1">
      <c r="A55" s="1"/>
      <c r="B55" s="1"/>
      <c r="C55" s="17"/>
      <c r="D55" s="17"/>
      <c r="E55" s="17"/>
      <c r="F55" s="25" t="s">
        <v>142</v>
      </c>
      <c r="G55" s="5" t="s">
        <v>103</v>
      </c>
      <c r="H55" s="45">
        <v>1.3516999999999999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100000000000001" customHeight="1">
      <c r="A56" s="1"/>
      <c r="B56" s="1"/>
      <c r="C56" s="17"/>
      <c r="D56" s="17"/>
      <c r="E56" s="17"/>
      <c r="F56" s="25" t="s">
        <v>22</v>
      </c>
      <c r="G56" s="5" t="s">
        <v>17</v>
      </c>
      <c r="H56" s="43">
        <v>539.70000000000005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100000000000001" customHeight="1">
      <c r="A57" s="1"/>
      <c r="B57" s="1"/>
      <c r="C57" s="17"/>
      <c r="D57" s="17"/>
      <c r="E57" s="17"/>
      <c r="F57" s="25" t="s">
        <v>143</v>
      </c>
      <c r="G57" s="5" t="s">
        <v>144</v>
      </c>
      <c r="H57" s="46">
        <v>46269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100000000000001" customHeight="1">
      <c r="A58" s="1"/>
      <c r="B58" s="1"/>
      <c r="C58" s="17"/>
      <c r="D58" s="17"/>
      <c r="E58" s="17"/>
      <c r="F58" s="25" t="s">
        <v>145</v>
      </c>
      <c r="G58" s="5" t="s">
        <v>141</v>
      </c>
      <c r="H58" s="47">
        <v>15704.544734999999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1:H1"/>
    <mergeCell ref="A2:H2"/>
    <mergeCell ref="A4:H4"/>
    <mergeCell ref="A37:D37"/>
    <mergeCell ref="F37:H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A48" workbookViewId="0">
      <selection sqref="A1:J1"/>
    </sheetView>
  </sheetViews>
  <sheetFormatPr defaultRowHeight="14.25"/>
  <cols>
    <col min="1" max="1" width="33" customWidth="1"/>
    <col min="2" max="2" width="10" customWidth="1"/>
    <col min="3" max="10" width="11.5" customWidth="1"/>
  </cols>
  <sheetData>
    <row r="1" spans="1:26" ht="24" customHeight="1">
      <c r="A1" s="81" t="s">
        <v>146</v>
      </c>
      <c r="B1" s="81"/>
      <c r="C1" s="81"/>
      <c r="D1" s="81"/>
      <c r="E1" s="81"/>
      <c r="F1" s="81"/>
      <c r="G1" s="81"/>
      <c r="H1" s="81"/>
      <c r="I1" s="81"/>
      <c r="J1" s="8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147</v>
      </c>
      <c r="B2" s="82"/>
      <c r="C2" s="82"/>
      <c r="D2" s="82"/>
      <c r="E2" s="82"/>
      <c r="F2" s="82"/>
      <c r="G2" s="82"/>
      <c r="H2" s="82"/>
      <c r="I2" s="82"/>
      <c r="J2" s="8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100000000000001" customHeight="1">
      <c r="A4" s="83" t="s">
        <v>148</v>
      </c>
      <c r="B4" s="83"/>
      <c r="C4" s="83"/>
      <c r="D4" s="83"/>
      <c r="E4" s="83"/>
      <c r="F4" s="83"/>
      <c r="G4" s="83"/>
      <c r="H4" s="83"/>
      <c r="I4" s="83"/>
      <c r="J4" s="8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100000000000001" customHeight="1">
      <c r="A5" s="3" t="s">
        <v>9</v>
      </c>
      <c r="B5" s="3" t="s">
        <v>11</v>
      </c>
      <c r="C5" s="3" t="s">
        <v>149</v>
      </c>
      <c r="D5" s="3" t="s">
        <v>150</v>
      </c>
      <c r="E5" s="3" t="s">
        <v>151</v>
      </c>
      <c r="F5" s="37" t="s">
        <v>4</v>
      </c>
      <c r="G5" s="37" t="s">
        <v>5</v>
      </c>
      <c r="H5" s="37" t="s">
        <v>8</v>
      </c>
      <c r="I5" s="37" t="s">
        <v>15</v>
      </c>
      <c r="J5" s="37" t="s">
        <v>13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100000000000001" customHeight="1">
      <c r="A6" s="25" t="s">
        <v>152</v>
      </c>
      <c r="B6" s="1" t="s">
        <v>32</v>
      </c>
      <c r="C6" s="7">
        <v>210130</v>
      </c>
      <c r="D6" s="7">
        <v>189185</v>
      </c>
      <c r="E6" s="7">
        <v>189335</v>
      </c>
      <c r="F6" s="14">
        <f>Assumptions!C6</f>
        <v>230653.66459761158</v>
      </c>
      <c r="G6" s="14">
        <f>Assumptions!D6</f>
        <v>182932.21674982988</v>
      </c>
      <c r="H6" s="14">
        <f>Assumptions!E6</f>
        <v>178489.93842777604</v>
      </c>
      <c r="I6" s="14">
        <f>Assumptions!F6</f>
        <v>189809.6068454909</v>
      </c>
      <c r="J6" s="14">
        <f>Assumptions!G6</f>
        <v>198410.53963088227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100000000000001" customHeight="1">
      <c r="A7" s="25" t="s">
        <v>19</v>
      </c>
      <c r="B7" s="1" t="s">
        <v>20</v>
      </c>
      <c r="C7" s="8">
        <v>82.49</v>
      </c>
      <c r="D7" s="8">
        <v>80.52</v>
      </c>
      <c r="E7" s="8">
        <v>69.14</v>
      </c>
      <c r="F7" s="15">
        <f>Assumptions!C7</f>
        <v>87</v>
      </c>
      <c r="G7" s="15">
        <f>Assumptions!D7</f>
        <v>69</v>
      </c>
      <c r="H7" s="15">
        <f>Assumptions!E7</f>
        <v>67.324421965317924</v>
      </c>
      <c r="I7" s="15">
        <f>Assumptions!F7</f>
        <v>71.594075144508679</v>
      </c>
      <c r="J7" s="15">
        <f>Assumptions!G7</f>
        <v>74.838251445086726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100000000000001" customHeight="1">
      <c r="A8" s="25" t="s">
        <v>24</v>
      </c>
      <c r="B8" s="1" t="s">
        <v>25</v>
      </c>
      <c r="C8" s="10">
        <v>1383</v>
      </c>
      <c r="D8" s="10">
        <v>1470</v>
      </c>
      <c r="E8" s="10">
        <v>1527</v>
      </c>
      <c r="F8" s="16">
        <f>Assumptions!C9</f>
        <v>1504.131506849315</v>
      </c>
      <c r="G8" s="16">
        <f>Assumptions!D9</f>
        <v>1498.6237725753424</v>
      </c>
      <c r="H8" s="16">
        <f>Assumptions!E9</f>
        <v>1502.7873744923286</v>
      </c>
      <c r="I8" s="16">
        <f>Assumptions!F9</f>
        <v>1543.3782810300354</v>
      </c>
      <c r="J8" s="16">
        <f>Assumptions!G9</f>
        <v>1613.6009694124518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100000000000001" customHeight="1">
      <c r="A9" s="25" t="s">
        <v>153</v>
      </c>
      <c r="B9" s="1" t="s">
        <v>75</v>
      </c>
      <c r="C9" s="8">
        <v>58.34</v>
      </c>
      <c r="D9" s="8">
        <v>53.96</v>
      </c>
      <c r="E9" s="8">
        <v>49.45</v>
      </c>
      <c r="F9" s="15">
        <f>F7*Assumptions!C8</f>
        <v>60.154333303072818</v>
      </c>
      <c r="G9" s="15">
        <f>G7*Assumptions!D8</f>
        <v>47.708609171402578</v>
      </c>
      <c r="H9" s="15">
        <f>H7*Assumptions!E8</f>
        <v>46.550065728028173</v>
      </c>
      <c r="I9" s="15">
        <f>I7*Assumptions!F8</f>
        <v>49.502228261701333</v>
      </c>
      <c r="J9" s="15">
        <f>J7*Assumptions!G8</f>
        <v>51.745346221228942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100000000000001" customHeight="1">
      <c r="A10" s="25" t="s">
        <v>29</v>
      </c>
      <c r="B10" s="1" t="s">
        <v>25</v>
      </c>
      <c r="C10" s="10">
        <v>929</v>
      </c>
      <c r="D10" s="10">
        <v>888</v>
      </c>
      <c r="E10" s="10">
        <v>785</v>
      </c>
      <c r="F10" s="16">
        <f>Assumptions!C17</f>
        <v>720.86849315068503</v>
      </c>
      <c r="G10" s="16">
        <f>Assumptions!D17</f>
        <v>721.32506849315075</v>
      </c>
      <c r="H10" s="16">
        <f>Assumptions!E17</f>
        <v>751.75881506849316</v>
      </c>
      <c r="I10" s="16">
        <f>Assumptions!F17</f>
        <v>756.67087431506855</v>
      </c>
      <c r="J10" s="16">
        <f>Assumptions!G17</f>
        <v>731.33733059931512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100000000000001" customHeight="1">
      <c r="A11" s="25" t="s">
        <v>154</v>
      </c>
      <c r="B11" s="1" t="s">
        <v>78</v>
      </c>
      <c r="C11" s="8">
        <v>6.13</v>
      </c>
      <c r="D11" s="8">
        <v>5.9</v>
      </c>
      <c r="E11" s="8">
        <v>6.6</v>
      </c>
      <c r="F11" s="15">
        <f>Assumptions!C13+Assumptions!C14</f>
        <v>6.9289866666666668</v>
      </c>
      <c r="G11" s="15">
        <f>Assumptions!D13+Assumptions!D14</f>
        <v>6.794176666666667</v>
      </c>
      <c r="H11" s="15">
        <f>Assumptions!E13+Assumptions!E14</f>
        <v>7.4371166666666664</v>
      </c>
      <c r="I11" s="15">
        <f>Assumptions!F13+Assumptions!F14</f>
        <v>7.706736666666667</v>
      </c>
      <c r="J11" s="15">
        <f>Assumptions!G13+Assumptions!G14</f>
        <v>8.5363366666666671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100000000000001" customHeight="1">
      <c r="A12" s="25" t="s">
        <v>86</v>
      </c>
      <c r="B12" s="1" t="s">
        <v>32</v>
      </c>
      <c r="C12" s="7"/>
      <c r="D12" s="7"/>
      <c r="E12" s="7"/>
      <c r="F12" s="14">
        <f>Assumptions!C21</f>
        <v>4830</v>
      </c>
      <c r="G12" s="14">
        <f>Assumptions!D21</f>
        <v>3555</v>
      </c>
      <c r="H12" s="14">
        <f>Assumptions!E21</f>
        <v>3626.1</v>
      </c>
      <c r="I12" s="14">
        <f>Assumptions!F21</f>
        <v>3698.6219999999998</v>
      </c>
      <c r="J12" s="14">
        <f>Assumptions!G21</f>
        <v>3772.5944399999998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100000000000001" customHeight="1">
      <c r="A13" s="25" t="s">
        <v>87</v>
      </c>
      <c r="B13" s="1" t="s">
        <v>32</v>
      </c>
      <c r="C13" s="7"/>
      <c r="D13" s="7"/>
      <c r="E13" s="7"/>
      <c r="F13" s="14">
        <f>Assumptions!C22</f>
        <v>7177</v>
      </c>
      <c r="G13" s="14">
        <f>Assumptions!D22</f>
        <v>4074.813990993393</v>
      </c>
      <c r="H13" s="14">
        <f>Assumptions!E22</f>
        <v>3121.4635984251422</v>
      </c>
      <c r="I13" s="14">
        <f>Assumptions!F22</f>
        <v>3121.4635984251422</v>
      </c>
      <c r="J13" s="14">
        <f>Assumptions!G22</f>
        <v>3121.4635984251422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100000000000001" customHeight="1">
      <c r="A14" s="25"/>
      <c r="B14" s="1"/>
      <c r="C14" s="17"/>
      <c r="D14" s="17"/>
      <c r="E14" s="17"/>
      <c r="F14" s="17"/>
      <c r="G14" s="17"/>
      <c r="H14" s="17"/>
      <c r="I14" s="17"/>
      <c r="J14" s="1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100000000000001" customHeight="1">
      <c r="A15" s="83" t="s">
        <v>155</v>
      </c>
      <c r="B15" s="83"/>
      <c r="C15" s="84"/>
      <c r="D15" s="84"/>
      <c r="E15" s="84"/>
      <c r="F15" s="84"/>
      <c r="G15" s="84"/>
      <c r="H15" s="84"/>
      <c r="I15" s="84"/>
      <c r="J15" s="8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100000000000001" customHeight="1">
      <c r="A16" s="26" t="s">
        <v>9</v>
      </c>
      <c r="B16" s="3" t="s">
        <v>11</v>
      </c>
      <c r="C16" s="3" t="s">
        <v>149</v>
      </c>
      <c r="D16" s="3" t="s">
        <v>150</v>
      </c>
      <c r="E16" s="3" t="s">
        <v>151</v>
      </c>
      <c r="F16" s="37" t="s">
        <v>4</v>
      </c>
      <c r="G16" s="37" t="s">
        <v>5</v>
      </c>
      <c r="H16" s="37" t="s">
        <v>8</v>
      </c>
      <c r="I16" s="37" t="s">
        <v>15</v>
      </c>
      <c r="J16" s="37" t="s">
        <v>13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100000000000001" customHeight="1">
      <c r="A17" s="25" t="s">
        <v>156</v>
      </c>
      <c r="B17" s="1" t="s">
        <v>32</v>
      </c>
      <c r="C17" s="7">
        <v>29449.740300000001</v>
      </c>
      <c r="D17" s="7">
        <v>29031.5592</v>
      </c>
      <c r="E17" s="7">
        <v>27561.204750000001</v>
      </c>
      <c r="F17" s="19">
        <f>F8*365*F9/1000</f>
        <v>33025.210218053398</v>
      </c>
      <c r="G17" s="19">
        <f>G8*365*G9/1000</f>
        <v>26096.498389181019</v>
      </c>
      <c r="H17" s="19">
        <f>H8*366*H9/1000</f>
        <v>25603.475487179971</v>
      </c>
      <c r="I17" s="19">
        <f>I8*365*I9/1000</f>
        <v>27886.242346020877</v>
      </c>
      <c r="J17" s="19">
        <f>J8*365*J9/1000</f>
        <v>30476.164401182657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100000000000001" customHeight="1">
      <c r="A18" s="25" t="s">
        <v>157</v>
      </c>
      <c r="B18" s="1" t="s">
        <v>32</v>
      </c>
      <c r="C18" s="7">
        <v>18857</v>
      </c>
      <c r="D18" s="7">
        <v>19278</v>
      </c>
      <c r="E18" s="7">
        <v>17446</v>
      </c>
      <c r="F18" s="14">
        <f>F17*Assumptions!C10</f>
        <v>21573.026416577381</v>
      </c>
      <c r="G18" s="14">
        <f>G17*Assumptions!D10</f>
        <v>16936.627454578484</v>
      </c>
      <c r="H18" s="14">
        <f>H17*Assumptions!E10</f>
        <v>16616.655591179802</v>
      </c>
      <c r="I18" s="14">
        <f>I17*Assumptions!F10</f>
        <v>18098.171282567549</v>
      </c>
      <c r="J18" s="14">
        <f>J17*Assumptions!G10</f>
        <v>19779.030696367547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100000000000001" customHeight="1">
      <c r="A19" s="25" t="s">
        <v>158</v>
      </c>
      <c r="B19" s="1" t="s">
        <v>32</v>
      </c>
      <c r="C19" s="7">
        <v>5692</v>
      </c>
      <c r="D19" s="7">
        <v>6797</v>
      </c>
      <c r="E19" s="7">
        <v>7719</v>
      </c>
      <c r="F19" s="14">
        <f>F8*365*Assumptions!C11/1000</f>
        <v>7678.52</v>
      </c>
      <c r="G19" s="14">
        <f>G8*365*Assumptions!D11/1000</f>
        <v>7657.9674778599992</v>
      </c>
      <c r="H19" s="14">
        <f>H8*366*Assumptions!E11/1000</f>
        <v>7700.2825068986913</v>
      </c>
      <c r="I19" s="14">
        <f>I8*365*Assumptions!F11/1000</f>
        <v>7886.6630160634795</v>
      </c>
      <c r="J19" s="14">
        <f>J8*365*Assumptions!G11/1000</f>
        <v>8245.5009536976286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100000000000001" customHeight="1">
      <c r="A20" s="25" t="s">
        <v>76</v>
      </c>
      <c r="B20" s="1" t="s">
        <v>32</v>
      </c>
      <c r="C20" s="7">
        <v>384</v>
      </c>
      <c r="D20" s="7">
        <v>544</v>
      </c>
      <c r="E20" s="7">
        <v>313</v>
      </c>
      <c r="F20" s="14">
        <f>Assumptions!C12</f>
        <v>660</v>
      </c>
      <c r="G20" s="14">
        <f>Assumptions!D12</f>
        <v>400</v>
      </c>
      <c r="H20" s="14">
        <f>Assumptions!E12</f>
        <v>400</v>
      </c>
      <c r="I20" s="14">
        <f>Assumptions!F12</f>
        <v>400</v>
      </c>
      <c r="J20" s="14">
        <f>Assumptions!G12</f>
        <v>400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100000000000001" customHeight="1">
      <c r="A21" s="27" t="s">
        <v>159</v>
      </c>
      <c r="B21" s="12" t="s">
        <v>32</v>
      </c>
      <c r="C21" s="20">
        <v>12781</v>
      </c>
      <c r="D21" s="20">
        <v>11937</v>
      </c>
      <c r="E21" s="20">
        <v>9414</v>
      </c>
      <c r="F21" s="21">
        <f>F18-F19-F20</f>
        <v>13234.50641657738</v>
      </c>
      <c r="G21" s="21">
        <f>G18-G19-G20</f>
        <v>8878.6599767184853</v>
      </c>
      <c r="H21" s="21">
        <f>H18-H19-H20</f>
        <v>8516.373084281111</v>
      </c>
      <c r="I21" s="21">
        <f>I18-I19-I20</f>
        <v>9811.50826650407</v>
      </c>
      <c r="J21" s="21">
        <f>J18-J19-J20</f>
        <v>11133.529742669918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100000000000001" customHeight="1">
      <c r="A22" s="25" t="s">
        <v>160</v>
      </c>
      <c r="B22" s="1" t="s">
        <v>75</v>
      </c>
      <c r="C22" s="8">
        <v>40.21</v>
      </c>
      <c r="D22" s="8">
        <v>38.57</v>
      </c>
      <c r="E22" s="8">
        <v>41.34</v>
      </c>
      <c r="F22" s="22">
        <f>Assumptions!C15*(F9/Assumptions!C34)+(1-Assumptions!C15)*F11*Assumptions!C16</f>
        <v>44.12035321492182</v>
      </c>
      <c r="G22" s="22">
        <f>Assumptions!D15*(G9/Assumptions!D34)+(1-Assumptions!D15)*G11*Assumptions!D16</f>
        <v>41.696272813903512</v>
      </c>
      <c r="H22" s="22">
        <f>Assumptions!E15*(H9/Assumptions!E34)+(1-Assumptions!E15)*H11*Assumptions!E16</f>
        <v>44.854255805978752</v>
      </c>
      <c r="I22" s="22">
        <f>Assumptions!F15*(I9/Assumptions!F34)+(1-Assumptions!F15)*I11*Assumptions!F16</f>
        <v>46.655966299883431</v>
      </c>
      <c r="J22" s="22">
        <f>Assumptions!G15*(J9/Assumptions!G34)+(1-Assumptions!G15)*J11*Assumptions!G16</f>
        <v>51.249836881679414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100000000000001" customHeight="1">
      <c r="A23" s="25" t="s">
        <v>161</v>
      </c>
      <c r="B23" s="1" t="s">
        <v>32</v>
      </c>
      <c r="C23" s="7">
        <v>13634.60785</v>
      </c>
      <c r="D23" s="7">
        <v>12535.558559999999</v>
      </c>
      <c r="E23" s="7">
        <v>11844.943499999999</v>
      </c>
      <c r="F23" s="19">
        <f>F10*365*F22/1000</f>
        <v>11608.814976850588</v>
      </c>
      <c r="G23" s="19">
        <f>G10*365*G22/1000</f>
        <v>10977.946897840287</v>
      </c>
      <c r="H23" s="19">
        <f>H10*366*H22/1000</f>
        <v>12341.367083546291</v>
      </c>
      <c r="I23" s="19">
        <f>I10*365*I22/1000</f>
        <v>12885.671946433717</v>
      </c>
      <c r="J23" s="19">
        <f>J10*365*J22/1000</f>
        <v>13680.53539802468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100000000000001" customHeight="1">
      <c r="A24" s="25" t="s">
        <v>162</v>
      </c>
      <c r="B24" s="1" t="s">
        <v>32</v>
      </c>
      <c r="C24" s="7">
        <v>14764</v>
      </c>
      <c r="D24" s="7">
        <v>11860</v>
      </c>
      <c r="E24" s="7">
        <v>10366</v>
      </c>
      <c r="F24" s="14">
        <f>F23*Assumptions!C18</f>
        <v>10286.135571062219</v>
      </c>
      <c r="G24" s="14">
        <f>G23*Assumptions!D18</f>
        <v>9682.5491638951335</v>
      </c>
      <c r="H24" s="14">
        <f>H23*Assumptions!E18</f>
        <v>10885.085767687828</v>
      </c>
      <c r="I24" s="14">
        <f>I23*Assumptions!F18</f>
        <v>11365.162656754537</v>
      </c>
      <c r="J24" s="14">
        <f>J23*Assumptions!G18</f>
        <v>12066.232221057768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100000000000001" customHeight="1">
      <c r="A25" s="25" t="s">
        <v>163</v>
      </c>
      <c r="B25" s="1" t="s">
        <v>32</v>
      </c>
      <c r="C25" s="7">
        <v>5680</v>
      </c>
      <c r="D25" s="7">
        <v>4835</v>
      </c>
      <c r="E25" s="7">
        <v>4969</v>
      </c>
      <c r="F25" s="14">
        <f>F10*365*Assumptions!C19/1000</f>
        <v>4318.8300000000008</v>
      </c>
      <c r="G25" s="14">
        <f>G10*365*Assumptions!D19/1000</f>
        <v>4344.180225000001</v>
      </c>
      <c r="H25" s="14">
        <f>H10*366*Assumptions!E19/1000</f>
        <v>4539.8714841986302</v>
      </c>
      <c r="I25" s="14">
        <f>I10*365*Assumptions!F19/1000</f>
        <v>4557.0503405625004</v>
      </c>
      <c r="J25" s="14">
        <f>J10*365*Assumptions!G19/1000</f>
        <v>4404.4790735343749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100000000000001" customHeight="1">
      <c r="A26" s="25" t="s">
        <v>85</v>
      </c>
      <c r="B26" s="1" t="s">
        <v>32</v>
      </c>
      <c r="C26" s="7">
        <v>362</v>
      </c>
      <c r="D26" s="7">
        <v>222</v>
      </c>
      <c r="E26" s="7">
        <v>30</v>
      </c>
      <c r="F26" s="14">
        <f>Assumptions!C20</f>
        <v>98</v>
      </c>
      <c r="G26" s="14">
        <f>Assumptions!D20</f>
        <v>100</v>
      </c>
      <c r="H26" s="14">
        <f>Assumptions!E20</f>
        <v>100</v>
      </c>
      <c r="I26" s="14">
        <f>Assumptions!F20</f>
        <v>100</v>
      </c>
      <c r="J26" s="14">
        <f>Assumptions!G20</f>
        <v>100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100000000000001" customHeight="1">
      <c r="A27" s="27" t="s">
        <v>164</v>
      </c>
      <c r="B27" s="12" t="s">
        <v>32</v>
      </c>
      <c r="C27" s="20">
        <v>8722</v>
      </c>
      <c r="D27" s="20">
        <v>6803</v>
      </c>
      <c r="E27" s="20">
        <v>5367</v>
      </c>
      <c r="F27" s="21">
        <f>F24-F25-F26</f>
        <v>5869.3055710622184</v>
      </c>
      <c r="G27" s="21">
        <f>G24-G25-G26</f>
        <v>5238.3689388951325</v>
      </c>
      <c r="H27" s="21">
        <f>H24-H25-H26</f>
        <v>6245.2142834891974</v>
      </c>
      <c r="I27" s="21">
        <f>I24-I25-I26</f>
        <v>6708.1123161920368</v>
      </c>
      <c r="J27" s="21">
        <f>J24-J25-J26</f>
        <v>7561.7531475233927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100000000000001" customHeight="1">
      <c r="A28" s="25" t="s">
        <v>165</v>
      </c>
      <c r="B28" s="1" t="s">
        <v>32</v>
      </c>
      <c r="C28" s="7">
        <v>6413</v>
      </c>
      <c r="D28" s="7">
        <v>2517</v>
      </c>
      <c r="E28" s="7">
        <v>5272</v>
      </c>
      <c r="F28" s="19">
        <f>F12+F13</f>
        <v>12007</v>
      </c>
      <c r="G28" s="19">
        <f>G12+G13</f>
        <v>7629.8139909933925</v>
      </c>
      <c r="H28" s="19">
        <f>H12+H13</f>
        <v>6747.5635984251421</v>
      </c>
      <c r="I28" s="19">
        <f>I12+I13</f>
        <v>6820.0855984251421</v>
      </c>
      <c r="J28" s="19">
        <f>J12+J13</f>
        <v>6894.0580384251425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100000000000001" customHeight="1">
      <c r="A29" s="25" t="s">
        <v>88</v>
      </c>
      <c r="B29" s="1" t="s">
        <v>32</v>
      </c>
      <c r="C29" s="7">
        <v>-866</v>
      </c>
      <c r="D29" s="7">
        <v>-608</v>
      </c>
      <c r="E29" s="7">
        <v>-648</v>
      </c>
      <c r="F29" s="14">
        <f>Assumptions!C23</f>
        <v>-1000</v>
      </c>
      <c r="G29" s="14">
        <f>Assumptions!D23</f>
        <v>-900</v>
      </c>
      <c r="H29" s="14">
        <f>Assumptions!E23</f>
        <v>-900</v>
      </c>
      <c r="I29" s="14">
        <f>Assumptions!F23</f>
        <v>-900</v>
      </c>
      <c r="J29" s="14">
        <f>Assumptions!G23</f>
        <v>-900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100000000000001" customHeight="1">
      <c r="A30" s="25" t="s">
        <v>89</v>
      </c>
      <c r="B30" s="1" t="s">
        <v>32</v>
      </c>
      <c r="C30" s="7">
        <v>-14</v>
      </c>
      <c r="D30" s="7">
        <v>-25</v>
      </c>
      <c r="E30" s="7">
        <v>45</v>
      </c>
      <c r="F30" s="14">
        <f>Assumptions!C24</f>
        <v>21</v>
      </c>
      <c r="G30" s="14">
        <f>Assumptions!D24</f>
        <v>0</v>
      </c>
      <c r="H30" s="14">
        <f>Assumptions!E24</f>
        <v>0</v>
      </c>
      <c r="I30" s="14">
        <f>Assumptions!F24</f>
        <v>0</v>
      </c>
      <c r="J30" s="14">
        <f>Assumptions!G24</f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100000000000001" customHeight="1">
      <c r="A31" s="27" t="s">
        <v>34</v>
      </c>
      <c r="B31" s="12" t="s">
        <v>32</v>
      </c>
      <c r="C31" s="20">
        <v>27036</v>
      </c>
      <c r="D31" s="20">
        <v>20624</v>
      </c>
      <c r="E31" s="20">
        <v>19450</v>
      </c>
      <c r="F31" s="21">
        <f>F21+F27+F28+F29+F30</f>
        <v>30131.811987639598</v>
      </c>
      <c r="G31" s="21">
        <f>G21+G27+G28+G29+G30</f>
        <v>20846.842906607009</v>
      </c>
      <c r="H31" s="21">
        <f>H21+H27+H28+H29+H30</f>
        <v>20609.150966195451</v>
      </c>
      <c r="I31" s="21">
        <f>I21+I27+I28+I29+I30</f>
        <v>22439.706181121252</v>
      </c>
      <c r="J31" s="21">
        <f>J21+J27+J28+J29+J30</f>
        <v>24689.340928618454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100000000000001" customHeight="1">
      <c r="A32" s="25"/>
      <c r="B32" s="1"/>
      <c r="C32" s="17"/>
      <c r="D32" s="17"/>
      <c r="E32" s="17"/>
      <c r="F32" s="17"/>
      <c r="G32" s="17"/>
      <c r="H32" s="17"/>
      <c r="I32" s="17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100000000000001" customHeight="1">
      <c r="A33" s="83" t="s">
        <v>166</v>
      </c>
      <c r="B33" s="83"/>
      <c r="C33" s="84"/>
      <c r="D33" s="84"/>
      <c r="E33" s="84"/>
      <c r="F33" s="84"/>
      <c r="G33" s="84"/>
      <c r="H33" s="84"/>
      <c r="I33" s="84"/>
      <c r="J33" s="8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100000000000001" customHeight="1">
      <c r="A34" s="26" t="s">
        <v>9</v>
      </c>
      <c r="B34" s="3" t="s">
        <v>11</v>
      </c>
      <c r="C34" s="3" t="s">
        <v>149</v>
      </c>
      <c r="D34" s="3" t="s">
        <v>150</v>
      </c>
      <c r="E34" s="3" t="s">
        <v>151</v>
      </c>
      <c r="F34" s="37" t="s">
        <v>4</v>
      </c>
      <c r="G34" s="37" t="s">
        <v>5</v>
      </c>
      <c r="H34" s="37" t="s">
        <v>8</v>
      </c>
      <c r="I34" s="37" t="s">
        <v>15</v>
      </c>
      <c r="J34" s="37" t="s">
        <v>13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100000000000001" customHeight="1">
      <c r="A35" s="25" t="s">
        <v>167</v>
      </c>
      <c r="B35" s="1" t="s">
        <v>32</v>
      </c>
      <c r="C35" s="7">
        <v>898</v>
      </c>
      <c r="D35" s="7">
        <v>1993</v>
      </c>
      <c r="E35" s="7">
        <v>618</v>
      </c>
      <c r="F35" s="14">
        <f>Assumptions!C25</f>
        <v>2500</v>
      </c>
      <c r="G35" s="14">
        <f>Assumptions!D25</f>
        <v>2500</v>
      </c>
      <c r="H35" s="14">
        <f>Assumptions!E25</f>
        <v>2500</v>
      </c>
      <c r="I35" s="14">
        <f>Assumptions!F25</f>
        <v>2500</v>
      </c>
      <c r="J35" s="14">
        <f>Assumptions!G25</f>
        <v>2500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100000000000001" customHeight="1">
      <c r="A36" s="25" t="s">
        <v>168</v>
      </c>
      <c r="B36" s="1" t="s">
        <v>32</v>
      </c>
      <c r="C36" s="7">
        <v>1265</v>
      </c>
      <c r="D36" s="7">
        <v>1512</v>
      </c>
      <c r="E36" s="7">
        <v>1352</v>
      </c>
      <c r="F36" s="14">
        <f>Assumptions!C26</f>
        <v>1352</v>
      </c>
      <c r="G36" s="14">
        <f>Assumptions!D26</f>
        <v>1352</v>
      </c>
      <c r="H36" s="14">
        <f>Assumptions!E26</f>
        <v>1352</v>
      </c>
      <c r="I36" s="14">
        <f>Assumptions!F26</f>
        <v>1352</v>
      </c>
      <c r="J36" s="14">
        <f>Assumptions!G26</f>
        <v>1352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100000000000001" customHeight="1">
      <c r="A37" s="25" t="s">
        <v>169</v>
      </c>
      <c r="B37" s="1" t="s">
        <v>32</v>
      </c>
      <c r="C37" s="7">
        <v>24873</v>
      </c>
      <c r="D37" s="7">
        <v>17119</v>
      </c>
      <c r="E37" s="7">
        <v>17480</v>
      </c>
      <c r="F37" s="19">
        <f>F31-F35-F36</f>
        <v>26279.811987639598</v>
      </c>
      <c r="G37" s="19">
        <f>G31-G35-G36</f>
        <v>16994.842906607009</v>
      </c>
      <c r="H37" s="19">
        <f>H31-H35-H36</f>
        <v>16757.150966195451</v>
      </c>
      <c r="I37" s="19">
        <f>I31-I35-I36</f>
        <v>18587.706181121252</v>
      </c>
      <c r="J37" s="19">
        <f>J31-J35-J36</f>
        <v>20837.340928618454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100000000000001" customHeight="1">
      <c r="A38" s="25" t="s">
        <v>94</v>
      </c>
      <c r="B38" s="1" t="s">
        <v>27</v>
      </c>
      <c r="C38" s="9">
        <v>0.4</v>
      </c>
      <c r="D38" s="9">
        <v>0.4</v>
      </c>
      <c r="E38" s="9">
        <v>0.42</v>
      </c>
      <c r="F38" s="23">
        <f>Assumptions!C27</f>
        <v>0.375</v>
      </c>
      <c r="G38" s="23">
        <f>Assumptions!D27</f>
        <v>0.4</v>
      </c>
      <c r="H38" s="23">
        <f>Assumptions!E27</f>
        <v>0.4</v>
      </c>
      <c r="I38" s="23">
        <f>Assumptions!F27</f>
        <v>0.4</v>
      </c>
      <c r="J38" s="23">
        <f>Assumptions!G27</f>
        <v>0.4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100000000000001" customHeight="1">
      <c r="A39" s="25" t="s">
        <v>170</v>
      </c>
      <c r="B39" s="1" t="s">
        <v>32</v>
      </c>
      <c r="C39" s="7">
        <v>9949.2000000000007</v>
      </c>
      <c r="D39" s="7">
        <v>6847.6</v>
      </c>
      <c r="E39" s="7">
        <v>7341.6</v>
      </c>
      <c r="F39" s="19">
        <f>F37*F38</f>
        <v>9854.9294953648496</v>
      </c>
      <c r="G39" s="19">
        <f>G37*G38</f>
        <v>6797.9371626428037</v>
      </c>
      <c r="H39" s="19">
        <f>H37*H38</f>
        <v>6702.8603864781808</v>
      </c>
      <c r="I39" s="19">
        <f>I37*I38</f>
        <v>7435.082472448501</v>
      </c>
      <c r="J39" s="19">
        <f>J37*J38</f>
        <v>8334.936371447382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100000000000001" customHeight="1">
      <c r="A40" s="27" t="s">
        <v>171</v>
      </c>
      <c r="B40" s="12" t="s">
        <v>32</v>
      </c>
      <c r="C40" s="20">
        <v>14923.8</v>
      </c>
      <c r="D40" s="20">
        <v>10271.4</v>
      </c>
      <c r="E40" s="20">
        <v>10138.4</v>
      </c>
      <c r="F40" s="21">
        <f>F37-F39</f>
        <v>16424.882492274748</v>
      </c>
      <c r="G40" s="21">
        <f>G37-G39</f>
        <v>10196.905743964206</v>
      </c>
      <c r="H40" s="21">
        <f>H37-H39</f>
        <v>10054.290579717272</v>
      </c>
      <c r="I40" s="21">
        <f>I37-I39</f>
        <v>11152.623708672751</v>
      </c>
      <c r="J40" s="21">
        <f>J37-J39</f>
        <v>12502.404557171072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100000000000001" customHeight="1">
      <c r="A41" s="25" t="s">
        <v>172</v>
      </c>
      <c r="B41" s="1" t="s">
        <v>32</v>
      </c>
      <c r="C41" s="7">
        <v>15928</v>
      </c>
      <c r="D41" s="7">
        <v>16622</v>
      </c>
      <c r="E41" s="7">
        <v>17822</v>
      </c>
      <c r="F41" s="14">
        <f>F19+F25+Assumptions!C28</f>
        <v>16939.350000000002</v>
      </c>
      <c r="G41" s="14">
        <f>G19+G25+Assumptions!D28</f>
        <v>17042.987702860002</v>
      </c>
      <c r="H41" s="14">
        <f>H19+H25+Assumptions!E28</f>
        <v>17381.810791097323</v>
      </c>
      <c r="I41" s="14">
        <f>I19+I25+Assumptions!F28</f>
        <v>17688.203292625978</v>
      </c>
      <c r="J41" s="14">
        <f>J19+J25+Assumptions!G28</f>
        <v>17999.359761952001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100000000000001" customHeight="1">
      <c r="A42" s="25" t="s">
        <v>96</v>
      </c>
      <c r="B42" s="1" t="s">
        <v>32</v>
      </c>
      <c r="C42" s="7">
        <v>16253</v>
      </c>
      <c r="D42" s="7">
        <v>16237</v>
      </c>
      <c r="E42" s="7">
        <v>14533</v>
      </c>
      <c r="F42" s="14">
        <f>Assumptions!C29</f>
        <v>13750</v>
      </c>
      <c r="G42" s="14">
        <f>Assumptions!D29</f>
        <v>14000</v>
      </c>
      <c r="H42" s="14">
        <f>Assumptions!E29</f>
        <v>14000</v>
      </c>
      <c r="I42" s="14">
        <f>Assumptions!F29</f>
        <v>14000</v>
      </c>
      <c r="J42" s="14">
        <f>Assumptions!G29</f>
        <v>14000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100000000000001" customHeight="1">
      <c r="A43" s="25" t="s">
        <v>97</v>
      </c>
      <c r="B43" s="1" t="s">
        <v>32</v>
      </c>
      <c r="C43" s="7">
        <v>3000</v>
      </c>
      <c r="D43" s="7">
        <v>3781</v>
      </c>
      <c r="E43" s="7">
        <v>4349</v>
      </c>
      <c r="F43" s="14">
        <f>Assumptions!C30</f>
        <v>3100</v>
      </c>
      <c r="G43" s="14">
        <f>Assumptions!D30</f>
        <v>3100</v>
      </c>
      <c r="H43" s="14">
        <f>Assumptions!E30</f>
        <v>3100</v>
      </c>
      <c r="I43" s="14">
        <f>Assumptions!F30</f>
        <v>3100</v>
      </c>
      <c r="J43" s="14">
        <f>Assumptions!G30</f>
        <v>3100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100000000000001" customHeight="1">
      <c r="A44" s="25" t="s">
        <v>173</v>
      </c>
      <c r="B44" s="1" t="s">
        <v>32</v>
      </c>
      <c r="C44" s="7">
        <v>3338</v>
      </c>
      <c r="D44" s="7">
        <v>-3975</v>
      </c>
      <c r="E44" s="7">
        <v>4820</v>
      </c>
      <c r="F44" s="14">
        <f>Support!E19</f>
        <v>6214.4498675344548</v>
      </c>
      <c r="G44" s="19">
        <f>(G6-F6)*Assumptions!D31</f>
        <v>-1644.359076551762</v>
      </c>
      <c r="H44" s="19">
        <f>(H6-G6)*Assumptions!E31</f>
        <v>-153.06955276667946</v>
      </c>
      <c r="I44" s="19">
        <f>(I6-H6)*Assumptions!F31</f>
        <v>390.04683105168999</v>
      </c>
      <c r="J44" s="19">
        <f>(J6-I6)*Assumptions!G31</f>
        <v>296.36615254386834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100000000000001" customHeight="1">
      <c r="A45" s="25" t="s">
        <v>100</v>
      </c>
      <c r="B45" s="1" t="s">
        <v>32</v>
      </c>
      <c r="C45" s="7">
        <v>2092</v>
      </c>
      <c r="D45" s="7">
        <v>2023</v>
      </c>
      <c r="E45" s="7">
        <v>2111</v>
      </c>
      <c r="F45" s="14">
        <f>Assumptions!C32</f>
        <v>2100</v>
      </c>
      <c r="G45" s="14">
        <f>Assumptions!D32</f>
        <v>2100</v>
      </c>
      <c r="H45" s="14">
        <f>Assumptions!E32</f>
        <v>2100</v>
      </c>
      <c r="I45" s="14">
        <f>Assumptions!F32</f>
        <v>2100</v>
      </c>
      <c r="J45" s="14">
        <f>Assumptions!G32</f>
        <v>2100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100000000000001" customHeight="1">
      <c r="A46" s="25" t="s">
        <v>174</v>
      </c>
      <c r="B46" s="1" t="s">
        <v>32</v>
      </c>
      <c r="C46" s="7">
        <v>746</v>
      </c>
      <c r="D46" s="7">
        <v>767</v>
      </c>
      <c r="E46" s="7">
        <v>343</v>
      </c>
      <c r="F46" s="19">
        <f>F20+F26</f>
        <v>758</v>
      </c>
      <c r="G46" s="19">
        <f>G20+G26</f>
        <v>500</v>
      </c>
      <c r="H46" s="19">
        <f>H20+H26</f>
        <v>500</v>
      </c>
      <c r="I46" s="19">
        <f>I20+I26</f>
        <v>500</v>
      </c>
      <c r="J46" s="19">
        <f>J20+J26</f>
        <v>500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100000000000001" customHeight="1">
      <c r="A47" s="25" t="s">
        <v>101</v>
      </c>
      <c r="B47" s="1" t="s">
        <v>32</v>
      </c>
      <c r="C47" s="7">
        <v>400</v>
      </c>
      <c r="D47" s="7">
        <v>500</v>
      </c>
      <c r="E47" s="7">
        <v>520</v>
      </c>
      <c r="F47" s="14">
        <f>Assumptions!C33</f>
        <v>500</v>
      </c>
      <c r="G47" s="14">
        <f>Assumptions!D33</f>
        <v>500</v>
      </c>
      <c r="H47" s="14">
        <f>Assumptions!E33</f>
        <v>500</v>
      </c>
      <c r="I47" s="14">
        <f>Assumptions!F33</f>
        <v>500</v>
      </c>
      <c r="J47" s="14">
        <f>Assumptions!G33</f>
        <v>500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100000000000001" customHeight="1">
      <c r="A48" s="27" t="s">
        <v>38</v>
      </c>
      <c r="B48" s="12" t="s">
        <v>32</v>
      </c>
      <c r="C48" s="20">
        <v>10698.8</v>
      </c>
      <c r="D48" s="20">
        <v>13140.4</v>
      </c>
      <c r="E48" s="20">
        <v>6192.4</v>
      </c>
      <c r="F48" s="21">
        <f>F40+F41-F42-F43-F44+F45+F46-F47</f>
        <v>12657.782624740295</v>
      </c>
      <c r="G48" s="21">
        <f>G40+G41-G42-G43-G44+G45+G46-G47</f>
        <v>13884.25252337597</v>
      </c>
      <c r="H48" s="21">
        <f>H40+H41-H42-H43-H44+H45+H46-H47</f>
        <v>12589.170923581274</v>
      </c>
      <c r="I48" s="21">
        <f>I40+I41-I42-I43-I44+I45+I46-I47</f>
        <v>13450.780170247037</v>
      </c>
      <c r="J48" s="21">
        <f>J40+J41-J42-J43-J44+J45+J46-J47</f>
        <v>15205.398166579205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100000000000001" customHeight="1">
      <c r="A49" s="25" t="s">
        <v>42</v>
      </c>
      <c r="B49" s="1" t="s">
        <v>27</v>
      </c>
      <c r="C49" s="9">
        <v>5.0915147765668869E-2</v>
      </c>
      <c r="D49" s="9">
        <v>6.9457937997198516E-2</v>
      </c>
      <c r="E49" s="9">
        <v>3.2706050122798223E-2</v>
      </c>
      <c r="F49" s="24">
        <f>F48/F6</f>
        <v>5.4877873485437642E-2</v>
      </c>
      <c r="G49" s="24">
        <f>G48/G6</f>
        <v>7.5898345136020895E-2</v>
      </c>
      <c r="H49" s="24">
        <f>H48/H6</f>
        <v>7.0531543875652927E-2</v>
      </c>
      <c r="I49" s="24">
        <f>I48/I6</f>
        <v>7.0864591069914926E-2</v>
      </c>
      <c r="J49" s="24">
        <f>J48/J6</f>
        <v>7.663604057963315E-2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1:J1"/>
    <mergeCell ref="A2:J2"/>
    <mergeCell ref="A4:J4"/>
    <mergeCell ref="A15:J15"/>
    <mergeCell ref="A33:J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opLeftCell="A46" workbookViewId="0">
      <selection sqref="A1:G1"/>
    </sheetView>
  </sheetViews>
  <sheetFormatPr defaultRowHeight="14.25"/>
  <cols>
    <col min="1" max="1" width="36" customWidth="1"/>
    <col min="2" max="2" width="11" customWidth="1"/>
    <col min="3" max="7" width="13" customWidth="1"/>
  </cols>
  <sheetData>
    <row r="1" spans="1:26" ht="24" customHeight="1">
      <c r="A1" s="81" t="s">
        <v>175</v>
      </c>
      <c r="B1" s="81"/>
      <c r="C1" s="81"/>
      <c r="D1" s="81"/>
      <c r="E1" s="81"/>
      <c r="F1" s="81"/>
      <c r="G1" s="8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176</v>
      </c>
      <c r="B2" s="82"/>
      <c r="C2" s="82"/>
      <c r="D2" s="82"/>
      <c r="E2" s="82"/>
      <c r="F2" s="82"/>
      <c r="G2" s="8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100000000000001" customHeight="1">
      <c r="A4" s="83" t="s">
        <v>177</v>
      </c>
      <c r="B4" s="83"/>
      <c r="C4" s="83"/>
      <c r="D4" s="83"/>
      <c r="E4" s="83"/>
      <c r="F4" s="83"/>
      <c r="G4" s="8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100000000000001" customHeight="1">
      <c r="A5" s="3" t="s">
        <v>9</v>
      </c>
      <c r="B5" s="3" t="s">
        <v>11</v>
      </c>
      <c r="C5" s="37" t="s">
        <v>178</v>
      </c>
      <c r="D5" s="37" t="s">
        <v>5</v>
      </c>
      <c r="E5" s="37" t="s">
        <v>8</v>
      </c>
      <c r="F5" s="37" t="s">
        <v>15</v>
      </c>
      <c r="G5" s="37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100000000000001" customHeight="1">
      <c r="A6" s="1" t="s">
        <v>179</v>
      </c>
      <c r="B6" s="1" t="s">
        <v>32</v>
      </c>
      <c r="C6" s="14">
        <f>Forecast!F48</f>
        <v>12657.782624740295</v>
      </c>
      <c r="D6" s="14">
        <f>Forecast!G48</f>
        <v>13884.25252337597</v>
      </c>
      <c r="E6" s="14">
        <f>Forecast!H48</f>
        <v>12589.170923581274</v>
      </c>
      <c r="F6" s="14">
        <f>Forecast!I48</f>
        <v>13450.780170247037</v>
      </c>
      <c r="G6" s="14">
        <f>Forecast!J48</f>
        <v>15205.398166579205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100000000000001" customHeight="1">
      <c r="A7" s="1" t="s">
        <v>180</v>
      </c>
      <c r="B7" s="1" t="s">
        <v>32</v>
      </c>
      <c r="C7" s="14">
        <f>Support!C28</f>
        <v>4576.239999999998</v>
      </c>
      <c r="D7" s="19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100000000000001" customHeight="1">
      <c r="A8" s="1" t="s">
        <v>181</v>
      </c>
      <c r="B8" s="1" t="s">
        <v>32</v>
      </c>
      <c r="C8" s="19">
        <f>C6-C7</f>
        <v>8081.5426247402975</v>
      </c>
      <c r="D8" s="19"/>
      <c r="E8" s="19"/>
      <c r="F8" s="19"/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100000000000001" customHeight="1">
      <c r="A9" s="1" t="s">
        <v>182</v>
      </c>
      <c r="B9" s="1" t="s">
        <v>27</v>
      </c>
      <c r="C9" s="23">
        <f>Support!D36/Support!D35</f>
        <v>0.64130434782608692</v>
      </c>
      <c r="D9" s="19"/>
      <c r="E9" s="19"/>
      <c r="F9" s="19"/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100000000000001" customHeight="1">
      <c r="A10" s="1" t="s">
        <v>183</v>
      </c>
      <c r="B10" s="1" t="s">
        <v>32</v>
      </c>
      <c r="C10" s="19">
        <f>C8*C9</f>
        <v>5182.7284223877996</v>
      </c>
      <c r="D10" s="19">
        <f>D6</f>
        <v>13884.25252337597</v>
      </c>
      <c r="E10" s="19">
        <f>E6</f>
        <v>12589.170923581274</v>
      </c>
      <c r="F10" s="19">
        <f>F6</f>
        <v>13450.780170247037</v>
      </c>
      <c r="G10" s="19">
        <f>G6</f>
        <v>15205.398166579205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100000000000001" customHeight="1">
      <c r="A11" s="1" t="s">
        <v>184</v>
      </c>
      <c r="B11" s="1" t="s">
        <v>144</v>
      </c>
      <c r="C11" s="48">
        <f>Assumptions!H57+Support!D36/2</f>
        <v>46328</v>
      </c>
      <c r="D11" s="49">
        <f>DATE(2027,7,2)</f>
        <v>46570</v>
      </c>
      <c r="E11" s="49">
        <f>DATE(2028,7,1)+0.5</f>
        <v>46935.5</v>
      </c>
      <c r="F11" s="49">
        <f>DATE(2029,7,2)</f>
        <v>47301</v>
      </c>
      <c r="G11" s="49">
        <f>DATE(2030,7,2)</f>
        <v>47666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100000000000001" customHeight="1">
      <c r="A12" s="1" t="s">
        <v>185</v>
      </c>
      <c r="B12" s="1" t="s">
        <v>186</v>
      </c>
      <c r="C12" s="50">
        <f>(C11-Assumptions!H57)/365.25</f>
        <v>0.16153319644079397</v>
      </c>
      <c r="D12" s="50">
        <f>(D11-Assumptions!H57)/365.25</f>
        <v>0.82409308692676253</v>
      </c>
      <c r="E12" s="50">
        <f>(E11-Assumptions!H57)/365.25</f>
        <v>1.8247775496235454</v>
      </c>
      <c r="F12" s="50">
        <f>(F11-Assumptions!H57)/365.25</f>
        <v>2.8254620123203287</v>
      </c>
      <c r="G12" s="50">
        <f>(G11-Assumptions!H57)/365.25</f>
        <v>3.8247775496235454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100000000000001" customHeight="1">
      <c r="A13" s="1" t="s">
        <v>187</v>
      </c>
      <c r="B13" s="1" t="s">
        <v>103</v>
      </c>
      <c r="C13" s="41">
        <f>1/(1+Assumptions!C51)^C12</f>
        <v>0.98904784025523107</v>
      </c>
      <c r="D13" s="41">
        <f>1/(1+Assumptions!C51)^D12</f>
        <v>0.94536630345368144</v>
      </c>
      <c r="E13" s="41">
        <f>1/(1+Assumptions!C51)^E12</f>
        <v>0.88302233870867342</v>
      </c>
      <c r="F13" s="41">
        <f>1/(1+Assumptions!C51)^F12</f>
        <v>0.82478976435903639</v>
      </c>
      <c r="G13" s="41">
        <f>1/(1+Assumptions!C51)^G12</f>
        <v>0.77046934918070309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100000000000001" customHeight="1">
      <c r="A14" s="12" t="s">
        <v>188</v>
      </c>
      <c r="B14" s="12" t="s">
        <v>32</v>
      </c>
      <c r="C14" s="51">
        <f>C10*C13</f>
        <v>5125.9663527920538</v>
      </c>
      <c r="D14" s="51">
        <f>D10*D13</f>
        <v>13125.704484241389</v>
      </c>
      <c r="E14" s="51">
        <f>E10*E13</f>
        <v>11116.519151343966</v>
      </c>
      <c r="F14" s="51">
        <f>F10*F13</f>
        <v>11094.065807063253</v>
      </c>
      <c r="G14" s="51">
        <f>G10*G13</f>
        <v>11715.293229437737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100000000000001" customHeight="1">
      <c r="A15" s="1"/>
      <c r="B15" s="1"/>
      <c r="C15" s="17"/>
      <c r="D15" s="17"/>
      <c r="E15" s="17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100000000000001" customHeight="1">
      <c r="A16" s="83" t="s">
        <v>189</v>
      </c>
      <c r="B16" s="83"/>
      <c r="C16" s="84"/>
      <c r="D16" s="84"/>
      <c r="E16" s="84"/>
      <c r="F16" s="84"/>
      <c r="G16" s="8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100000000000001" customHeight="1">
      <c r="A17" s="1" t="s">
        <v>190</v>
      </c>
      <c r="B17" s="1" t="s">
        <v>27</v>
      </c>
      <c r="C17" s="52">
        <f>Assumptions!H39</f>
        <v>1.4999999999999999E-2</v>
      </c>
      <c r="D17" s="17"/>
      <c r="E17" s="17"/>
      <c r="F17" s="17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100000000000001" customHeight="1">
      <c r="A18" s="1" t="s">
        <v>40</v>
      </c>
      <c r="B18" s="1" t="s">
        <v>27</v>
      </c>
      <c r="C18" s="52">
        <f>Assumptions!C51</f>
        <v>7.0552973556930632E-2</v>
      </c>
      <c r="D18" s="17"/>
      <c r="E18" s="17"/>
      <c r="F18" s="17"/>
      <c r="G18" s="1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100000000000001" customHeight="1">
      <c r="A19" s="1" t="s">
        <v>191</v>
      </c>
      <c r="B19" s="1" t="s">
        <v>32</v>
      </c>
      <c r="C19" s="14">
        <f>Forecast!J40*(1+C17)</f>
        <v>12689.940625528638</v>
      </c>
      <c r="D19" s="17"/>
      <c r="E19" s="17"/>
      <c r="F19" s="17"/>
      <c r="G19" s="1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100000000000001" customHeight="1">
      <c r="A20" s="1" t="s">
        <v>192</v>
      </c>
      <c r="B20" s="1" t="s">
        <v>32</v>
      </c>
      <c r="C20" s="14">
        <f>Forecast!J41*(1+C17)</f>
        <v>18269.350158381279</v>
      </c>
      <c r="D20" s="17"/>
      <c r="E20" s="17"/>
      <c r="F20" s="17"/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100000000000001" customHeight="1">
      <c r="A21" s="1" t="s">
        <v>193</v>
      </c>
      <c r="B21" s="1" t="s">
        <v>32</v>
      </c>
      <c r="C21" s="14">
        <f>(Forecast!J42+Forecast!J43)*(1+C17)</f>
        <v>17356.5</v>
      </c>
      <c r="D21" s="17"/>
      <c r="E21" s="17"/>
      <c r="F21" s="17"/>
      <c r="G21" s="1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100000000000001" customHeight="1">
      <c r="A22" s="1" t="s">
        <v>194</v>
      </c>
      <c r="B22" s="1" t="s">
        <v>32</v>
      </c>
      <c r="C22" s="19">
        <f>C19*C17/Assumptions!H40</f>
        <v>1903.4910938292956</v>
      </c>
      <c r="D22" s="17"/>
      <c r="E22" s="17"/>
      <c r="F22" s="17"/>
      <c r="G22" s="1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100000000000001" customHeight="1">
      <c r="A23" s="1" t="s">
        <v>195</v>
      </c>
      <c r="B23" s="1" t="s">
        <v>32</v>
      </c>
      <c r="C23" s="19">
        <f>MAX(C21,C20+C22)</f>
        <v>20172.841252210575</v>
      </c>
      <c r="D23" s="17"/>
      <c r="E23" s="17"/>
      <c r="F23" s="17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100000000000001" customHeight="1">
      <c r="A24" s="1" t="s">
        <v>196</v>
      </c>
      <c r="B24" s="1" t="s">
        <v>32</v>
      </c>
      <c r="C24" s="14">
        <f>Forecast!J6*C17*Assumptions!G31</f>
        <v>102.5507983641595</v>
      </c>
      <c r="D24" s="17"/>
      <c r="E24" s="17"/>
      <c r="F24" s="17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100000000000001" customHeight="1">
      <c r="A25" s="1" t="s">
        <v>197</v>
      </c>
      <c r="B25" s="1" t="s">
        <v>32</v>
      </c>
      <c r="C25" s="14">
        <f>Forecast!J45*(1+C17)</f>
        <v>2131.5</v>
      </c>
      <c r="D25" s="17"/>
      <c r="E25" s="17"/>
      <c r="F25" s="17"/>
      <c r="G25" s="1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100000000000001" customHeight="1">
      <c r="A26" s="1" t="s">
        <v>198</v>
      </c>
      <c r="B26" s="1" t="s">
        <v>32</v>
      </c>
      <c r="C26" s="14">
        <f>Forecast!J46*(1+C17)</f>
        <v>507.49999999999994</v>
      </c>
      <c r="D26" s="17"/>
      <c r="E26" s="17"/>
      <c r="F26" s="17"/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100000000000001" customHeight="1">
      <c r="A27" s="1" t="s">
        <v>199</v>
      </c>
      <c r="B27" s="1" t="s">
        <v>32</v>
      </c>
      <c r="C27" s="14">
        <f>Forecast!J47*(1+C17)</f>
        <v>507.49999999999994</v>
      </c>
      <c r="D27" s="17"/>
      <c r="E27" s="17"/>
      <c r="F27" s="17"/>
      <c r="G27" s="1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100000000000001" customHeight="1">
      <c r="A28" s="12" t="s">
        <v>200</v>
      </c>
      <c r="B28" s="12" t="s">
        <v>32</v>
      </c>
      <c r="C28" s="21">
        <f>C19+C20-C23-C24+C25+C26-C27</f>
        <v>12815.398733335182</v>
      </c>
      <c r="D28" s="17"/>
      <c r="E28" s="17"/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100000000000001" customHeight="1">
      <c r="A29" s="1" t="s">
        <v>201</v>
      </c>
      <c r="B29" s="1" t="s">
        <v>32</v>
      </c>
      <c r="C29" s="19">
        <f>C28/(C18-C17)</f>
        <v>230687.89864510085</v>
      </c>
      <c r="D29" s="17"/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100000000000001" customHeight="1">
      <c r="A30" s="1" t="s">
        <v>202</v>
      </c>
      <c r="B30" s="1" t="s">
        <v>186</v>
      </c>
      <c r="C30" s="50">
        <f>(DATE(2030,12,31)-Assumptions!H57)/365.25</f>
        <v>4.3230663928815876</v>
      </c>
      <c r="D30" s="17"/>
      <c r="E30" s="17"/>
      <c r="F30" s="17"/>
      <c r="G30" s="1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100000000000001" customHeight="1">
      <c r="A31" s="1" t="s">
        <v>203</v>
      </c>
      <c r="B31" s="1" t="s">
        <v>32</v>
      </c>
      <c r="C31" s="19">
        <f>C29/(1+C18)^C30</f>
        <v>171801.42528787247</v>
      </c>
      <c r="D31" s="17"/>
      <c r="E31" s="17"/>
      <c r="F31" s="17"/>
      <c r="G31" s="1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100000000000001" customHeight="1">
      <c r="A32" s="1" t="s">
        <v>204</v>
      </c>
      <c r="B32" s="1" t="s">
        <v>32</v>
      </c>
      <c r="C32" s="19">
        <f>SUM(C14:G14)</f>
        <v>52177.549024878404</v>
      </c>
      <c r="D32" s="17"/>
      <c r="E32" s="17"/>
      <c r="F32" s="17"/>
      <c r="G32" s="1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100000000000001" customHeight="1">
      <c r="A33" s="12" t="s">
        <v>31</v>
      </c>
      <c r="B33" s="12" t="s">
        <v>32</v>
      </c>
      <c r="C33" s="21">
        <f>C31+C32</f>
        <v>223978.97431275086</v>
      </c>
      <c r="D33" s="17"/>
      <c r="E33" s="17"/>
      <c r="F33" s="17"/>
      <c r="G33" s="1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100000000000001" customHeight="1">
      <c r="A34" s="1" t="s">
        <v>205</v>
      </c>
      <c r="B34" s="1" t="s">
        <v>27</v>
      </c>
      <c r="C34" s="42">
        <f>C31/C33</f>
        <v>0.76704264681549628</v>
      </c>
      <c r="D34" s="17"/>
      <c r="E34" s="17"/>
      <c r="F34" s="17"/>
      <c r="G34" s="1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100000000000001" customHeight="1">
      <c r="A35" s="1"/>
      <c r="B35" s="1"/>
      <c r="C35" s="17"/>
      <c r="D35" s="17"/>
      <c r="E35" s="17"/>
      <c r="F35" s="17"/>
      <c r="G35" s="1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100000000000001" customHeight="1">
      <c r="A36" s="83" t="s">
        <v>206</v>
      </c>
      <c r="B36" s="83"/>
      <c r="C36" s="84"/>
      <c r="D36" s="84"/>
      <c r="E36" s="84"/>
      <c r="F36" s="84"/>
      <c r="G36" s="8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100000000000001" customHeight="1">
      <c r="A37" s="1" t="s">
        <v>115</v>
      </c>
      <c r="B37" s="1" t="s">
        <v>32</v>
      </c>
      <c r="C37" s="14">
        <f>-Assumptions!H41</f>
        <v>-58337</v>
      </c>
      <c r="D37" s="17"/>
      <c r="E37" s="17"/>
      <c r="F37" s="17"/>
      <c r="G37" s="1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100000000000001" customHeight="1">
      <c r="A38" s="1" t="s">
        <v>117</v>
      </c>
      <c r="B38" s="1" t="s">
        <v>32</v>
      </c>
      <c r="C38" s="14">
        <f>-Assumptions!H42</f>
        <v>-1082</v>
      </c>
      <c r="D38" s="17"/>
      <c r="E38" s="17"/>
      <c r="F38" s="17"/>
      <c r="G38" s="1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100000000000001" customHeight="1">
      <c r="A39" s="1" t="s">
        <v>120</v>
      </c>
      <c r="B39" s="1" t="s">
        <v>32</v>
      </c>
      <c r="C39" s="14">
        <f>-Assumptions!H43</f>
        <v>-13316</v>
      </c>
      <c r="D39" s="17"/>
      <c r="E39" s="17"/>
      <c r="F39" s="17"/>
      <c r="G39" s="1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100000000000001" customHeight="1">
      <c r="A40" s="1" t="s">
        <v>123</v>
      </c>
      <c r="B40" s="1" t="s">
        <v>32</v>
      </c>
      <c r="C40" s="14">
        <f>-Assumptions!H44</f>
        <v>-13015</v>
      </c>
      <c r="D40" s="17"/>
      <c r="E40" s="17"/>
      <c r="F40" s="17"/>
      <c r="G40" s="1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100000000000001" customHeight="1">
      <c r="A41" s="1" t="s">
        <v>125</v>
      </c>
      <c r="B41" s="1" t="s">
        <v>32</v>
      </c>
      <c r="C41" s="14">
        <f>-Assumptions!H45</f>
        <v>-4977</v>
      </c>
      <c r="D41" s="17"/>
      <c r="E41" s="17"/>
      <c r="F41" s="17"/>
      <c r="G41" s="1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100000000000001" customHeight="1">
      <c r="A42" s="1" t="s">
        <v>127</v>
      </c>
      <c r="B42" s="1" t="s">
        <v>32</v>
      </c>
      <c r="C42" s="14">
        <f>-Assumptions!H46</f>
        <v>-3099.75</v>
      </c>
      <c r="D42" s="17"/>
      <c r="E42" s="17"/>
      <c r="F42" s="17"/>
      <c r="G42" s="1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100000000000001" customHeight="1">
      <c r="A43" s="1" t="s">
        <v>129</v>
      </c>
      <c r="B43" s="1" t="s">
        <v>32</v>
      </c>
      <c r="C43" s="14">
        <f>-Assumptions!H47</f>
        <v>-5001</v>
      </c>
      <c r="D43" s="17"/>
      <c r="E43" s="17"/>
      <c r="F43" s="17"/>
      <c r="G43" s="1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100000000000001" customHeight="1">
      <c r="A44" s="1" t="s">
        <v>131</v>
      </c>
      <c r="B44" s="1" t="s">
        <v>32</v>
      </c>
      <c r="C44" s="14">
        <f>-Assumptions!H48</f>
        <v>-9189.75</v>
      </c>
      <c r="D44" s="17"/>
      <c r="E44" s="17"/>
      <c r="F44" s="17"/>
      <c r="G44" s="1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100000000000001" customHeight="1">
      <c r="A45" s="1" t="s">
        <v>133</v>
      </c>
      <c r="B45" s="1" t="s">
        <v>32</v>
      </c>
      <c r="C45" s="14">
        <f>-Assumptions!H49</f>
        <v>-17.1750408284</v>
      </c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100000000000001" customHeight="1">
      <c r="A46" s="1" t="s">
        <v>207</v>
      </c>
      <c r="B46" s="1" t="s">
        <v>32</v>
      </c>
      <c r="C46" s="14">
        <f>-Assumptions!H58*Assumptions!H50</f>
        <v>-1360.013574051</v>
      </c>
      <c r="D46" s="17"/>
      <c r="E46" s="17"/>
      <c r="F46" s="17"/>
      <c r="G46" s="1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100000000000001" customHeight="1">
      <c r="A47" s="1" t="s">
        <v>137</v>
      </c>
      <c r="B47" s="1" t="s">
        <v>32</v>
      </c>
      <c r="C47" s="14">
        <f>Assumptions!H51</f>
        <v>37168</v>
      </c>
      <c r="D47" s="17"/>
      <c r="E47" s="17"/>
      <c r="F47" s="17"/>
      <c r="G47" s="1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100000000000001" customHeight="1">
      <c r="A48" s="1" t="s">
        <v>138</v>
      </c>
      <c r="B48" s="1" t="s">
        <v>32</v>
      </c>
      <c r="C48" s="14">
        <f>Assumptions!H52</f>
        <v>762</v>
      </c>
      <c r="D48" s="17"/>
      <c r="E48" s="17"/>
      <c r="F48" s="17"/>
      <c r="G48" s="1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100000000000001" customHeight="1">
      <c r="A49" s="1" t="s">
        <v>208</v>
      </c>
      <c r="B49" s="1" t="s">
        <v>32</v>
      </c>
      <c r="C49" s="14">
        <f>Assumptions!H53/(1+Assumptions!C51)^((DATE(2026,12,31)-Assumptions!H57)/365.25)</f>
        <v>5869.2937818812234</v>
      </c>
      <c r="D49" s="17"/>
      <c r="E49" s="17"/>
      <c r="F49" s="17"/>
      <c r="G49" s="1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100000000000001" customHeight="1">
      <c r="A50" s="12" t="s">
        <v>209</v>
      </c>
      <c r="B50" s="12" t="s">
        <v>32</v>
      </c>
      <c r="C50" s="21">
        <f>SUM(C37:C49)</f>
        <v>-65595.394832998179</v>
      </c>
      <c r="D50" s="17"/>
      <c r="E50" s="17"/>
      <c r="F50" s="17"/>
      <c r="G50" s="1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100000000000001" customHeight="1">
      <c r="A51" s="12" t="s">
        <v>36</v>
      </c>
      <c r="B51" s="12" t="s">
        <v>32</v>
      </c>
      <c r="C51" s="21">
        <f>C33+C50</f>
        <v>158383.57947975269</v>
      </c>
      <c r="D51" s="17"/>
      <c r="E51" s="17"/>
      <c r="F51" s="17"/>
      <c r="G51" s="1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100000000000001" customHeight="1">
      <c r="A52" s="1"/>
      <c r="B52" s="1"/>
      <c r="C52" s="17"/>
      <c r="D52" s="17"/>
      <c r="E52" s="17"/>
      <c r="F52" s="17"/>
      <c r="G52" s="1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100000000000001" customHeight="1">
      <c r="A53" s="83" t="s">
        <v>210</v>
      </c>
      <c r="B53" s="83"/>
      <c r="C53" s="84"/>
      <c r="D53" s="84"/>
      <c r="E53" s="84"/>
      <c r="F53" s="84"/>
      <c r="G53" s="8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100000000000001" customHeight="1">
      <c r="A54" s="1" t="s">
        <v>140</v>
      </c>
      <c r="B54" s="1" t="s">
        <v>141</v>
      </c>
      <c r="C54" s="53">
        <f>Assumptions!H54</f>
        <v>15849.646735</v>
      </c>
      <c r="D54" s="17"/>
      <c r="E54" s="17"/>
      <c r="F54" s="17"/>
      <c r="G54" s="1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100000000000001" customHeight="1">
      <c r="A55" s="1" t="s">
        <v>211</v>
      </c>
      <c r="B55" s="1" t="s">
        <v>136</v>
      </c>
      <c r="C55" s="76">
        <f>C51/C54</f>
        <v>9.9928775781482866</v>
      </c>
      <c r="D55" s="17"/>
      <c r="E55" s="17"/>
      <c r="F55" s="17"/>
      <c r="G55" s="1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100000000000001" customHeight="1">
      <c r="A56" s="1" t="s">
        <v>142</v>
      </c>
      <c r="B56" s="1" t="s">
        <v>103</v>
      </c>
      <c r="C56" s="54">
        <f>Assumptions!H55</f>
        <v>1.3516999999999999</v>
      </c>
      <c r="D56" s="17"/>
      <c r="E56" s="17"/>
      <c r="F56" s="17"/>
      <c r="G56" s="1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100000000000001" customHeight="1">
      <c r="A57" s="12" t="s">
        <v>212</v>
      </c>
      <c r="B57" s="12" t="s">
        <v>17</v>
      </c>
      <c r="C57" s="77">
        <f>C55/C56*100</f>
        <v>739.28220597383199</v>
      </c>
      <c r="D57" s="17"/>
      <c r="E57" s="17"/>
      <c r="F57" s="17"/>
      <c r="G57" s="1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100000000000001" customHeight="1">
      <c r="A58" s="1" t="s">
        <v>22</v>
      </c>
      <c r="B58" s="1" t="s">
        <v>17</v>
      </c>
      <c r="C58" s="55">
        <f>Assumptions!H56</f>
        <v>539.70000000000005</v>
      </c>
      <c r="D58" s="17"/>
      <c r="E58" s="17"/>
      <c r="F58" s="17"/>
      <c r="G58" s="1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100000000000001" customHeight="1">
      <c r="A59" s="1" t="s">
        <v>26</v>
      </c>
      <c r="B59" s="1" t="s">
        <v>27</v>
      </c>
      <c r="C59" s="61">
        <f>C57/C58-1</f>
        <v>0.36980212335340368</v>
      </c>
      <c r="D59" s="17"/>
      <c r="E59" s="17"/>
      <c r="F59" s="17"/>
      <c r="G59" s="1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A53:G53"/>
    <mergeCell ref="A1:G1"/>
    <mergeCell ref="A2:G2"/>
    <mergeCell ref="A4:G4"/>
    <mergeCell ref="A16:G16"/>
    <mergeCell ref="A36:G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topLeftCell="G20" workbookViewId="0">
      <selection sqref="A1:O1"/>
    </sheetView>
  </sheetViews>
  <sheetFormatPr defaultRowHeight="14.25"/>
  <cols>
    <col min="1" max="1" width="12" customWidth="1"/>
    <col min="2" max="8" width="11" customWidth="1"/>
    <col min="10" max="10" width="31" customWidth="1"/>
    <col min="11" max="11" width="11" customWidth="1"/>
    <col min="12" max="14" width="12" customWidth="1"/>
    <col min="15" max="15" width="25" customWidth="1"/>
  </cols>
  <sheetData>
    <row r="1" spans="1:26" ht="24" customHeight="1">
      <c r="A1" s="81" t="s">
        <v>213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214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100000000000001" customHeight="1">
      <c r="A4" s="83" t="s">
        <v>215</v>
      </c>
      <c r="B4" s="83"/>
      <c r="C4" s="83"/>
      <c r="D4" s="83"/>
      <c r="E4" s="83"/>
      <c r="F4" s="83"/>
      <c r="G4" s="83"/>
      <c r="H4" s="83"/>
      <c r="I4" s="1"/>
      <c r="J4" s="83" t="s">
        <v>46</v>
      </c>
      <c r="K4" s="83"/>
      <c r="L4" s="83"/>
      <c r="M4" s="83"/>
      <c r="N4" s="83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100000000000001" customHeight="1">
      <c r="A5" s="3" t="s">
        <v>216</v>
      </c>
      <c r="B5" s="31">
        <v>0</v>
      </c>
      <c r="C5" s="31">
        <v>5.0000000000000001E-3</v>
      </c>
      <c r="D5" s="31">
        <v>0.01</v>
      </c>
      <c r="E5" s="31">
        <v>1.4999999999999999E-2</v>
      </c>
      <c r="F5" s="31">
        <v>0.02</v>
      </c>
      <c r="G5" s="31">
        <v>2.5000000000000001E-2</v>
      </c>
      <c r="H5" s="31">
        <v>0.03</v>
      </c>
      <c r="I5" s="17"/>
      <c r="J5" s="3" t="s">
        <v>217</v>
      </c>
      <c r="K5" s="3" t="s">
        <v>11</v>
      </c>
      <c r="L5" s="3" t="s">
        <v>53</v>
      </c>
      <c r="M5" s="3" t="s">
        <v>56</v>
      </c>
      <c r="N5" s="3" t="s">
        <v>59</v>
      </c>
      <c r="O5" s="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100000000000001" customHeight="1">
      <c r="A6" s="40">
        <v>5.5552973556930632E-2</v>
      </c>
      <c r="B6" s="56">
        <f>((DCF!C10/(1+$A6)^DCF!C12+DCF!D10/(1+$A6)^DCF!D12+DCF!E10/(1+$A6)^DCF!E12+DCF!F10/(1+$A6)^DCF!F12+DCF!G10/(1+$A6)^DCF!G12)+((((Forecast!J40*(1+B$5))+(Forecast!J41*(1+B$5))-MAX(((Forecast!J42+Forecast!J43)*(1+B$5)),(Forecast!J41*(1+B$5))+((Forecast!J40*(1+B$5))*B$5/Assumptions!H40))-(Forecast!J6*B$5*Assumptions!G31)+(Forecast!J45*(1+B$5))+(Forecast!J46*(1+B$5))-(Forecast!J47*(1+B$5)))/($A6-B$5))/(1+$A6)^DCF!C30)+(DCF!C50-DCF!C49)+(Assumptions!H53/(1+$A6)^((DATE(2026,12,31)-Assumptions!H57)/365.25)))/Assumptions!H54/Assumptions!H55*100</f>
        <v>915.96440455434356</v>
      </c>
      <c r="C6" s="56">
        <f>((DCF!C10/(1+$A6)^DCF!C12+DCF!D10/(1+$A6)^DCF!D12+DCF!E10/(1+$A6)^DCF!E12+DCF!F10/(1+$A6)^DCF!F12+DCF!G10/(1+$A6)^DCF!G12)+((((Forecast!J40*(1+C$5))+(Forecast!J41*(1+C$5))-MAX(((Forecast!J42+Forecast!J43)*(1+C$5)),(Forecast!J41*(1+C$5))+((Forecast!J40*(1+C$5))*C$5/Assumptions!H40))-(Forecast!J6*C$5*Assumptions!G31)+(Forecast!J45*(1+C$5))+(Forecast!J46*(1+C$5))-(Forecast!J47*(1+C$5)))/($A6-C$5))/(1+$A6)^DCF!C30)+(DCF!C50-DCF!C49)+(Assumptions!H53/(1+$A6)^((DATE(2026,12,31)-Assumptions!H57)/365.25)))/Assumptions!H54/Assumptions!H55*100</f>
        <v>968.94317027951831</v>
      </c>
      <c r="D6" s="56">
        <f>((DCF!C10/(1+$A6)^DCF!C12+DCF!D10/(1+$A6)^DCF!D12+DCF!E10/(1+$A6)^DCF!E12+DCF!F10/(1+$A6)^DCF!F12+DCF!G10/(1+$A6)^DCF!G12)+((((Forecast!J40*(1+D$5))+(Forecast!J41*(1+D$5))-MAX(((Forecast!J42+Forecast!J43)*(1+D$5)),(Forecast!J41*(1+D$5))+((Forecast!J40*(1+D$5))*D$5/Assumptions!H40))-(Forecast!J6*D$5*Assumptions!G31)+(Forecast!J45*(1+D$5))+(Forecast!J46*(1+D$5))-(Forecast!J47*(1+D$5)))/($A6-D$5))/(1+$A6)^DCF!C30)+(DCF!C50-DCF!C49)+(Assumptions!H53/(1+$A6)^((DATE(2026,12,31)-Assumptions!H57)/365.25)))/Assumptions!H54/Assumptions!H55*100</f>
        <v>1033.0450415583675</v>
      </c>
      <c r="E6" s="56">
        <f>((DCF!C10/(1+$A6)^DCF!C12+DCF!D10/(1+$A6)^DCF!D12+DCF!E10/(1+$A6)^DCF!E12+DCF!F10/(1+$A6)^DCF!F12+DCF!G10/(1+$A6)^DCF!G12)+((((Forecast!J40*(1+E$5))+(Forecast!J41*(1+E$5))-MAX(((Forecast!J42+Forecast!J43)*(1+E$5)),(Forecast!J41*(1+E$5))+((Forecast!J40*(1+E$5))*E$5/Assumptions!H40))-(Forecast!J6*E$5*Assumptions!G31)+(Forecast!J45*(1+E$5))+(Forecast!J46*(1+E$5))-(Forecast!J47*(1+E$5)))/($A6-E$5))/(1+$A6)^DCF!C30)+(DCF!C50-DCF!C49)+(Assumptions!H53/(1+$A6)^((DATE(2026,12,31)-Assumptions!H57)/365.25)))/Assumptions!H54/Assumptions!H55*100</f>
        <v>1112.3843056717214</v>
      </c>
      <c r="F6" s="56">
        <f>((DCF!C10/(1+$A6)^DCF!C12+DCF!D10/(1+$A6)^DCF!D12+DCF!E10/(1+$A6)^DCF!E12+DCF!F10/(1+$A6)^DCF!F12+DCF!G10/(1+$A6)^DCF!G12)+((((Forecast!J40*(1+F$5))+(Forecast!J41*(1+F$5))-MAX(((Forecast!J42+Forecast!J43)*(1+F$5)),(Forecast!J41*(1+F$5))+((Forecast!J40*(1+F$5))*F$5/Assumptions!H40))-(Forecast!J6*F$5*Assumptions!G31)+(Forecast!J45*(1+F$5))+(Forecast!J46*(1+F$5))-(Forecast!J47*(1+F$5)))/($A6-F$5))/(1+$A6)^DCF!C30)+(DCF!C50-DCF!C49)+(Assumptions!H53/(1+$A6)^((DATE(2026,12,31)-Assumptions!H57)/365.25)))/Assumptions!H54/Assumptions!H55*100</f>
        <v>1213.3897045685926</v>
      </c>
      <c r="G6" s="56">
        <f>((DCF!C10/(1+$A6)^DCF!C12+DCF!D10/(1+$A6)^DCF!D12+DCF!E10/(1+$A6)^DCF!E12+DCF!F10/(1+$A6)^DCF!F12+DCF!G10/(1+$A6)^DCF!G12)+((((Forecast!J40*(1+G$5))+(Forecast!J41*(1+G$5))-MAX(((Forecast!J42+Forecast!J43)*(1+G$5)),(Forecast!J41*(1+G$5))+((Forecast!J40*(1+G$5))*G$5/Assumptions!H40))-(Forecast!J6*G$5*Assumptions!G31)+(Forecast!J45*(1+G$5))+(Forecast!J46*(1+G$5))-(Forecast!J47*(1+G$5)))/($A6-G$5))/(1+$A6)^DCF!C30)+(DCF!C50-DCF!C49)+(Assumptions!H53/(1+$A6)^((DATE(2026,12,31)-Assumptions!H57)/365.25)))/Assumptions!H54/Assumptions!H55*100</f>
        <v>1346.6982396245494</v>
      </c>
      <c r="H6" s="56">
        <f>((DCF!C10/(1+$A6)^DCF!C12+DCF!D10/(1+$A6)^DCF!D12+DCF!E10/(1+$A6)^DCF!E12+DCF!F10/(1+$A6)^DCF!F12+DCF!G10/(1+$A6)^DCF!G12)+((((Forecast!J40*(1+H$5))+(Forecast!J41*(1+H$5))-MAX(((Forecast!J42+Forecast!J43)*(1+H$5)),(Forecast!J41*(1+H$5))+((Forecast!J40*(1+H$5))*H$5/Assumptions!H40))-(Forecast!J6*H$5*Assumptions!G31)+(Forecast!J45*(1+H$5))+(Forecast!J46*(1+H$5))-(Forecast!J47*(1+H$5)))/($A6-H$5))/(1+$A6)^DCF!C30)+(DCF!C50-DCF!C49)+(Assumptions!H53/(1+$A6)^((DATE(2026,12,31)-Assumptions!H57)/365.25)))/Assumptions!H54/Assumptions!H55*100</f>
        <v>1531.2723631470187</v>
      </c>
      <c r="I6" s="17"/>
      <c r="J6" s="17" t="s">
        <v>218</v>
      </c>
      <c r="K6" s="17" t="s">
        <v>219</v>
      </c>
      <c r="L6" s="57">
        <v>-0.1</v>
      </c>
      <c r="M6" s="57">
        <v>0</v>
      </c>
      <c r="N6" s="57">
        <v>0.1</v>
      </c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100000000000001" customHeight="1">
      <c r="A7" s="40">
        <v>6.055297355693063E-2</v>
      </c>
      <c r="B7" s="56">
        <f>((DCF!C10/(1+$A7)^DCF!C12+DCF!D10/(1+$A7)^DCF!D12+DCF!E10/(1+$A7)^DCF!E12+DCF!F10/(1+$A7)^DCF!F12+DCF!G10/(1+$A7)^DCF!G12)+((((Forecast!J40*(1+B$5))+(Forecast!J41*(1+B$5))-MAX(((Forecast!J42+Forecast!J43)*(1+B$5)),(Forecast!J41*(1+B$5))+((Forecast!J40*(1+B$5))*B$5/Assumptions!H40))-(Forecast!J6*B$5*Assumptions!G31)+(Forecast!J45*(1+B$5))+(Forecast!J46*(1+B$5))-(Forecast!J47*(1+B$5)))/($A7-B$5))/(1+$A7)^DCF!C30)+(DCF!C50-DCF!C49)+(Assumptions!H53/(1+$A7)^((DATE(2026,12,31)-Assumptions!H57)/365.25)))/Assumptions!H54/Assumptions!H55*100</f>
        <v>815.24459037183624</v>
      </c>
      <c r="C7" s="56">
        <f>((DCF!C10/(1+$A7)^DCF!C12+DCF!D10/(1+$A7)^DCF!D12+DCF!E10/(1+$A7)^DCF!E12+DCF!F10/(1+$A7)^DCF!F12+DCF!G10/(1+$A7)^DCF!G12)+((((Forecast!J40*(1+C$5))+(Forecast!J41*(1+C$5))-MAX(((Forecast!J42+Forecast!J43)*(1+C$5)),(Forecast!J41*(1+C$5))+((Forecast!J40*(1+C$5))*C$5/Assumptions!H40))-(Forecast!J6*C$5*Assumptions!G31)+(Forecast!J45*(1+C$5))+(Forecast!J46*(1+C$5))-(Forecast!J47*(1+C$5)))/($A7-C$5))/(1+$A7)^DCF!C30)+(DCF!C50-DCF!C49)+(Assumptions!H53/(1+$A7)^((DATE(2026,12,31)-Assumptions!H57)/365.25)))/Assumptions!H54/Assumptions!H55*100</f>
        <v>855.40822529381285</v>
      </c>
      <c r="D7" s="56">
        <f>((DCF!C10/(1+$A7)^DCF!C12+DCF!D10/(1+$A7)^DCF!D12+DCF!E10/(1+$A7)^DCF!E12+DCF!F10/(1+$A7)^DCF!F12+DCF!G10/(1+$A7)^DCF!G12)+((((Forecast!J40*(1+D$5))+(Forecast!J41*(1+D$5))-MAX(((Forecast!J42+Forecast!J43)*(1+D$5)),(Forecast!J41*(1+D$5))+((Forecast!J40*(1+D$5))*D$5/Assumptions!H40))-(Forecast!J6*D$5*Assumptions!G31)+(Forecast!J45*(1+D$5))+(Forecast!J46*(1+D$5))-(Forecast!J47*(1+D$5)))/($A7-D$5))/(1+$A7)^DCF!C30)+(DCF!C50-DCF!C49)+(Assumptions!H53/(1+$A7)^((DATE(2026,12,31)-Assumptions!H57)/365.25)))/Assumptions!H54/Assumptions!H55*100</f>
        <v>903.06907098823524</v>
      </c>
      <c r="E7" s="56">
        <f>((DCF!C10/(1+$A7)^DCF!C12+DCF!D10/(1+$A7)^DCF!D12+DCF!E10/(1+$A7)^DCF!E12+DCF!F10/(1+$A7)^DCF!F12+DCF!G10/(1+$A7)^DCF!G12)+((((Forecast!J40*(1+E$5))+(Forecast!J41*(1+E$5))-MAX(((Forecast!J42+Forecast!J43)*(1+E$5)),(Forecast!J41*(1+E$5))+((Forecast!J40*(1+E$5))*E$5/Assumptions!H40))-(Forecast!J6*E$5*Assumptions!G31)+(Forecast!J45*(1+E$5))+(Forecast!J46*(1+E$5))-(Forecast!J47*(1+E$5)))/($A7-E$5))/(1+$A7)^DCF!C30)+(DCF!C50-DCF!C49)+(Assumptions!H53/(1+$A7)^((DATE(2026,12,31)-Assumptions!H57)/365.25)))/Assumptions!H54/Assumptions!H55*100</f>
        <v>960.69586116896562</v>
      </c>
      <c r="F7" s="56">
        <f>((DCF!C10/(1+$A7)^DCF!C12+DCF!D10/(1+$A7)^DCF!D12+DCF!E10/(1+$A7)^DCF!E12+DCF!F10/(1+$A7)^DCF!F12+DCF!G10/(1+$A7)^DCF!G12)+((((Forecast!J40*(1+F$5))+(Forecast!J41*(1+F$5))-MAX(((Forecast!J42+Forecast!J43)*(1+F$5)),(Forecast!J41*(1+F$5))+((Forecast!J40*(1+F$5))*F$5/Assumptions!H40))-(Forecast!J6*F$5*Assumptions!G31)+(Forecast!J45*(1+F$5))+(Forecast!J46*(1+F$5))-(Forecast!J47*(1+F$5)))/($A7-F$5))/(1+$A7)^DCF!C30)+(DCF!C50-DCF!C49)+(Assumptions!H53/(1+$A7)^((DATE(2026,12,31)-Assumptions!H57)/365.25)))/Assumptions!H54/Assumptions!H55*100</f>
        <v>1031.9748647870283</v>
      </c>
      <c r="G7" s="56">
        <f>((DCF!C10/(1+$A7)^DCF!C12+DCF!D10/(1+$A7)^DCF!D12+DCF!E10/(1+$A7)^DCF!E12+DCF!F10/(1+$A7)^DCF!F12+DCF!G10/(1+$A7)^DCF!G12)+((((Forecast!J40*(1+G$5))+(Forecast!J41*(1+G$5))-MAX(((Forecast!J42+Forecast!J43)*(1+G$5)),(Forecast!J41*(1+G$5))+((Forecast!J40*(1+G$5))*G$5/Assumptions!H40))-(Forecast!J6*G$5*Assumptions!G31)+(Forecast!J45*(1+G$5))+(Forecast!J46*(1+G$5))-(Forecast!J47*(1+G$5)))/($A7-G$5))/(1+$A7)^DCF!C30)+(DCF!C50-DCF!C49)+(Assumptions!H53/(1+$A7)^((DATE(2026,12,31)-Assumptions!H57)/365.25)))/Assumptions!H54/Assumptions!H55*100</f>
        <v>1122.6660276661414</v>
      </c>
      <c r="H7" s="56">
        <f>((DCF!C10/(1+$A7)^DCF!C12+DCF!D10/(1+$A7)^DCF!D12+DCF!E10/(1+$A7)^DCF!E12+DCF!F10/(1+$A7)^DCF!F12+DCF!G10/(1+$A7)^DCF!G12)+((((Forecast!J40*(1+H$5))+(Forecast!J41*(1+H$5))-MAX(((Forecast!J42+Forecast!J43)*(1+H$5)),(Forecast!J41*(1+H$5))+((Forecast!J40*(1+H$5))*H$5/Assumptions!H40))-(Forecast!J6*H$5*Assumptions!G31)+(Forecast!J45*(1+H$5))+(Forecast!J46*(1+H$5))-(Forecast!J47*(1+H$5)))/($A7-H$5))/(1+$A7)^DCF!C30)+(DCF!C50-DCF!C49)+(Assumptions!H53/(1+$A7)^((DATE(2026,12,31)-Assumptions!H57)/365.25)))/Assumptions!H54/Assumptions!H55*100</f>
        <v>1242.2997605983396</v>
      </c>
      <c r="I7" s="17"/>
      <c r="J7" s="17" t="s">
        <v>220</v>
      </c>
      <c r="K7" s="17" t="s">
        <v>219</v>
      </c>
      <c r="L7" s="57">
        <v>-0.03</v>
      </c>
      <c r="M7" s="57">
        <v>0</v>
      </c>
      <c r="N7" s="57">
        <v>0.03</v>
      </c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100000000000001" customHeight="1">
      <c r="A8" s="40">
        <v>6.5552973556930627E-2</v>
      </c>
      <c r="B8" s="56">
        <f>((DCF!C10/(1+$A8)^DCF!C12+DCF!D10/(1+$A8)^DCF!D12+DCF!E10/(1+$A8)^DCF!E12+DCF!F10/(1+$A8)^DCF!F12+DCF!G10/(1+$A8)^DCF!G12)+((((Forecast!J40*(1+B$5))+(Forecast!J41*(1+B$5))-MAX(((Forecast!J42+Forecast!J43)*(1+B$5)),(Forecast!J41*(1+B$5))+((Forecast!J40*(1+B$5))*B$5/Assumptions!H40))-(Forecast!J6*B$5*Assumptions!G31)+(Forecast!J45*(1+B$5))+(Forecast!J46*(1+B$5))-(Forecast!J47*(1+B$5)))/($A8-B$5))/(1+$A8)^DCF!C30)+(DCF!C50-DCF!C49)+(Assumptions!H53/(1+$A8)^((DATE(2026,12,31)-Assumptions!H57)/365.25)))/Assumptions!H54/Assumptions!H55*100</f>
        <v>729.9639879966345</v>
      </c>
      <c r="C8" s="56">
        <f>((DCF!C10/(1+$A8)^DCF!C12+DCF!D10/(1+$A8)^DCF!D12+DCF!E10/(1+$A8)^DCF!E12+DCF!F10/(1+$A8)^DCF!F12+DCF!G10/(1+$A8)^DCF!G12)+((((Forecast!J40*(1+C$5))+(Forecast!J41*(1+C$5))-MAX(((Forecast!J42+Forecast!J43)*(1+C$5)),(Forecast!J41*(1+C$5))+((Forecast!J40*(1+C$5))*C$5/Assumptions!H40))-(Forecast!J6*C$5*Assumptions!G31)+(Forecast!J45*(1+C$5))+(Forecast!J46*(1+C$5))-(Forecast!J47*(1+C$5)))/($A8-C$5))/(1+$A8)^DCF!C30)+(DCF!C50-DCF!C49)+(Assumptions!H53/(1+$A8)^((DATE(2026,12,31)-Assumptions!H57)/365.25)))/Assumptions!H54/Assumptions!H55*100</f>
        <v>760.68199484902891</v>
      </c>
      <c r="D8" s="56">
        <f>((DCF!C10/(1+$A8)^DCF!C12+DCF!D10/(1+$A8)^DCF!D12+DCF!E10/(1+$A8)^DCF!E12+DCF!F10/(1+$A8)^DCF!F12+DCF!G10/(1+$A8)^DCF!G12)+((((Forecast!J40*(1+D$5))+(Forecast!J41*(1+D$5))-MAX(((Forecast!J42+Forecast!J43)*(1+D$5)),(Forecast!J41*(1+D$5))+((Forecast!J40*(1+D$5))*D$5/Assumptions!H40))-(Forecast!J6*D$5*Assumptions!G31)+(Forecast!J45*(1+D$5))+(Forecast!J46*(1+D$5))-(Forecast!J47*(1+D$5)))/($A8-D$5))/(1+$A8)^DCF!C30)+(DCF!C50-DCF!C49)+(Assumptions!H53/(1+$A8)^((DATE(2026,12,31)-Assumptions!H57)/365.25)))/Assumptions!H54/Assumptions!H55*100</f>
        <v>796.53033939477177</v>
      </c>
      <c r="E8" s="56">
        <f>((DCF!C10/(1+$A8)^DCF!C12+DCF!D10/(1+$A8)^DCF!D12+DCF!E10/(1+$A8)^DCF!E12+DCF!F10/(1+$A8)^DCF!F12+DCF!G10/(1+$A8)^DCF!G12)+((((Forecast!J40*(1+E$5))+(Forecast!J41*(1+E$5))-MAX(((Forecast!J42+Forecast!J43)*(1+E$5)),(Forecast!J41*(1+E$5))+((Forecast!J40*(1+E$5))*E$5/Assumptions!H40))-(Forecast!J6*E$5*Assumptions!G31)+(Forecast!J45*(1+E$5))+(Forecast!J46*(1+E$5))-(Forecast!J47*(1+E$5)))/($A8-E$5))/(1+$A8)^DCF!C30)+(DCF!C50-DCF!C49)+(Assumptions!H53/(1+$A8)^((DATE(2026,12,31)-Assumptions!H57)/365.25)))/Assumptions!H54/Assumptions!H55*100</f>
        <v>839.03128748660424</v>
      </c>
      <c r="F8" s="56">
        <f>((DCF!C10/(1+$A8)^DCF!C12+DCF!D10/(1+$A8)^DCF!D12+DCF!E10/(1+$A8)^DCF!E12+DCF!F10/(1+$A8)^DCF!F12+DCF!G10/(1+$A8)^DCF!G12)+((((Forecast!J40*(1+F$5))+(Forecast!J41*(1+F$5))-MAX(((Forecast!J42+Forecast!J43)*(1+F$5)),(Forecast!J41*(1+F$5))+((Forecast!J40*(1+F$5))*F$5/Assumptions!H40))-(Forecast!J6*F$5*Assumptions!G31)+(Forecast!J45*(1+F$5))+(Forecast!J46*(1+F$5))-(Forecast!J47*(1+F$5)))/($A8-F$5))/(1+$A8)^DCF!C30)+(DCF!C50-DCF!C49)+(Assumptions!H53/(1+$A8)^((DATE(2026,12,31)-Assumptions!H57)/365.25)))/Assumptions!H54/Assumptions!H55*100</f>
        <v>890.37545469579345</v>
      </c>
      <c r="G8" s="56">
        <f>((DCF!C10/(1+$A8)^DCF!C12+DCF!D10/(1+$A8)^DCF!D12+DCF!E10/(1+$A8)^DCF!E12+DCF!F10/(1+$A8)^DCF!F12+DCF!G10/(1+$A8)^DCF!G12)+((((Forecast!J40*(1+G$5))+(Forecast!J41*(1+G$5))-MAX(((Forecast!J42+Forecast!J43)*(1+G$5)),(Forecast!J41*(1+G$5))+((Forecast!J40*(1+G$5))*G$5/Assumptions!H40))-(Forecast!J6*G$5*Assumptions!G31)+(Forecast!J45*(1+G$5))+(Forecast!J46*(1+G$5))-(Forecast!J47*(1+G$5)))/($A8-G$5))/(1+$A8)^DCF!C30)+(DCF!C50-DCF!C49)+(Assumptions!H53/(1+$A8)^((DATE(2026,12,31)-Assumptions!H57)/365.25)))/Assumptions!H54/Assumptions!H55*100</f>
        <v>953.83382894568228</v>
      </c>
      <c r="H8" s="56">
        <f>((DCF!C10/(1+$A8)^DCF!C12+DCF!D10/(1+$A8)^DCF!D12+DCF!E10/(1+$A8)^DCF!E12+DCF!F10/(1+$A8)^DCF!F12+DCF!G10/(1+$A8)^DCF!G12)+((((Forecast!J40*(1+H$5))+(Forecast!J41*(1+H$5))-MAX(((Forecast!J42+Forecast!J43)*(1+H$5)),(Forecast!J41*(1+H$5))+((Forecast!J40*(1+H$5))*H$5/Assumptions!H40))-(Forecast!J6*H$5*Assumptions!G31)+(Forecast!J45*(1+H$5))+(Forecast!J46*(1+H$5))-(Forecast!J47*(1+H$5)))/($A8-H$5))/(1+$A8)^DCF!C30)+(DCF!C50-DCF!C49)+(Assumptions!H53/(1+$A8)^((DATE(2026,12,31)-Assumptions!H57)/365.25)))/Assumptions!H54/Assumptions!H55*100</f>
        <v>1034.5174624895931</v>
      </c>
      <c r="I8" s="17"/>
      <c r="J8" s="17" t="s">
        <v>221</v>
      </c>
      <c r="K8" s="17" t="s">
        <v>219</v>
      </c>
      <c r="L8" s="57">
        <v>-0.1</v>
      </c>
      <c r="M8" s="57">
        <v>0</v>
      </c>
      <c r="N8" s="57">
        <v>0.1</v>
      </c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100000000000001" customHeight="1">
      <c r="A9" s="40">
        <v>7.0552973556930632E-2</v>
      </c>
      <c r="B9" s="56">
        <f>((DCF!C10/(1+$A9)^DCF!C12+DCF!D10/(1+$A9)^DCF!D12+DCF!E10/(1+$A9)^DCF!E12+DCF!F10/(1+$A9)^DCF!F12+DCF!G10/(1+$A9)^DCF!G12)+((((Forecast!J40*(1+B$5))+(Forecast!J41*(1+B$5))-MAX(((Forecast!J42+Forecast!J43)*(1+B$5)),(Forecast!J41*(1+B$5))+((Forecast!J40*(1+B$5))*B$5/Assumptions!H40))-(Forecast!J6*B$5*Assumptions!G31)+(Forecast!J45*(1+B$5))+(Forecast!J46*(1+B$5))-(Forecast!J47*(1+B$5)))/($A9-B$5))/(1+$A9)^DCF!C30)+(DCF!C50-DCF!C49)+(Assumptions!H53/(1+$A9)^((DATE(2026,12,31)-Assumptions!H57)/365.25)))/Assumptions!H54/Assumptions!H55*100</f>
        <v>656.83730093677514</v>
      </c>
      <c r="C9" s="56">
        <f>((DCF!C10/(1+$A9)^DCF!C12+DCF!D10/(1+$A9)^DCF!D12+DCF!E10/(1+$A9)^DCF!E12+DCF!F10/(1+$A9)^DCF!F12+DCF!G10/(1+$A9)^DCF!G12)+((((Forecast!J40*(1+C$5))+(Forecast!J41*(1+C$5))-MAX(((Forecast!J42+Forecast!J43)*(1+C$5)),(Forecast!J41*(1+C$5))+((Forecast!J40*(1+C$5))*C$5/Assumptions!H40))-(Forecast!J6*C$5*Assumptions!G31)+(Forecast!J45*(1+C$5))+(Forecast!J46*(1+C$5))-(Forecast!J47*(1+C$5)))/($A9-C$5))/(1+$A9)^DCF!C30)+(DCF!C50-DCF!C49)+(Assumptions!H53/(1+$A9)^((DATE(2026,12,31)-Assumptions!H57)/365.25)))/Assumptions!H54/Assumptions!H55*100</f>
        <v>680.45814913121535</v>
      </c>
      <c r="D9" s="56">
        <f>((DCF!C10/(1+$A9)^DCF!C12+DCF!D10/(1+$A9)^DCF!D12+DCF!E10/(1+$A9)^DCF!E12+DCF!F10/(1+$A9)^DCF!F12+DCF!G10/(1+$A9)^DCF!G12)+((((Forecast!J40*(1+D$5))+(Forecast!J41*(1+D$5))-MAX(((Forecast!J42+Forecast!J43)*(1+D$5)),(Forecast!J41*(1+D$5))+((Forecast!J40*(1+D$5))*D$5/Assumptions!H40))-(Forecast!J6*D$5*Assumptions!G31)+(Forecast!J45*(1+D$5))+(Forecast!J46*(1+D$5))-(Forecast!J47*(1+D$5)))/($A9-D$5))/(1+$A9)^DCF!C30)+(DCF!C50-DCF!C49)+(Assumptions!H53/(1+$A9)^((DATE(2026,12,31)-Assumptions!H57)/365.25)))/Assumptions!H54/Assumptions!H55*100</f>
        <v>707.6209899877133</v>
      </c>
      <c r="E9" s="58">
        <f>((DCF!C10/(1+$A9)^DCF!C12+DCF!D10/(1+$A9)^DCF!D12+DCF!E10/(1+$A9)^DCF!E12+DCF!F10/(1+$A9)^DCF!F12+DCF!G10/(1+$A9)^DCF!G12)+((((Forecast!J40*(1+E$5))+(Forecast!J41*(1+E$5))-MAX(((Forecast!J42+Forecast!J43)*(1+E$5)),(Forecast!J41*(1+E$5))+((Forecast!J40*(1+E$5))*E$5/Assumptions!H40))-(Forecast!J6*E$5*Assumptions!G31)+(Forecast!J45*(1+E$5))+(Forecast!J46*(1+E$5))-(Forecast!J47*(1+E$5)))/($A9-E$5))/(1+$A9)^DCF!C30)+(DCF!C50-DCF!C49)+(Assumptions!H53/(1+$A9)^((DATE(2026,12,31)-Assumptions!H57)/365.25)))/Assumptions!H54/Assumptions!H55*100</f>
        <v>739.28220597383199</v>
      </c>
      <c r="F9" s="56">
        <f>((DCF!C10/(1+$A9)^DCF!C12+DCF!D10/(1+$A9)^DCF!D12+DCF!E10/(1+$A9)^DCF!E12+DCF!F10/(1+$A9)^DCF!F12+DCF!G10/(1+$A9)^DCF!G12)+((((Forecast!J40*(1+F$5))+(Forecast!J41*(1+F$5))-MAX(((Forecast!J42+Forecast!J43)*(1+F$5)),(Forecast!J41*(1+F$5))+((Forecast!J40*(1+F$5))*F$5/Assumptions!H40))-(Forecast!J6*F$5*Assumptions!G31)+(Forecast!J45*(1+F$5))+(Forecast!J46*(1+F$5))-(Forecast!J47*(1+F$5)))/($A9-F$5))/(1+$A9)^DCF!C30)+(DCF!C50-DCF!C49)+(Assumptions!H53/(1+$A9)^((DATE(2026,12,31)-Assumptions!H57)/365.25)))/Assumptions!H54/Assumptions!H55*100</f>
        <v>776.77654798940455</v>
      </c>
      <c r="G9" s="56">
        <f>((DCF!C10/(1+$A9)^DCF!C12+DCF!D10/(1+$A9)^DCF!D12+DCF!E10/(1+$A9)^DCF!E12+DCF!F10/(1+$A9)^DCF!F12+DCF!G10/(1+$A9)^DCF!G12)+((((Forecast!J40*(1+G$5))+(Forecast!J41*(1+G$5))-MAX(((Forecast!J42+Forecast!J43)*(1+G$5)),(Forecast!J41*(1+G$5))+((Forecast!J40*(1+G$5))*G$5/Assumptions!H40))-(Forecast!J6*G$5*Assumptions!G31)+(Forecast!J45*(1+G$5))+(Forecast!J46*(1+G$5))-(Forecast!J47*(1+G$5)))/($A9-G$5))/(1+$A9)^DCF!C30)+(DCF!C50-DCF!C49)+(Assumptions!H53/(1+$A9)^((DATE(2026,12,31)-Assumptions!H57)/365.25)))/Assumptions!H54/Assumptions!H55*100</f>
        <v>822.02478834872159</v>
      </c>
      <c r="H9" s="56">
        <f>((DCF!C10/(1+$A9)^DCF!C12+DCF!D10/(1+$A9)^DCF!D12+DCF!E10/(1+$A9)^DCF!E12+DCF!F10/(1+$A9)^DCF!F12+DCF!G10/(1+$A9)^DCF!G12)+((((Forecast!J40*(1+H$5))+(Forecast!J41*(1+H$5))-MAX(((Forecast!J42+Forecast!J43)*(1+H$5)),(Forecast!J41*(1+H$5))+((Forecast!J40*(1+H$5))*H$5/Assumptions!H40))-(Forecast!J6*H$5*Assumptions!G31)+(Forecast!J45*(1+H$5))+(Forecast!J46*(1+H$5))-(Forecast!J47*(1+H$5)))/($A9-H$5))/(1+$A9)^DCF!C30)+(DCF!C50-DCF!C49)+(Assumptions!H53/(1+$A9)^((DATE(2026,12,31)-Assumptions!H57)/365.25)))/Assumptions!H54/Assumptions!H55*100</f>
        <v>877.89498985839623</v>
      </c>
      <c r="I9" s="17"/>
      <c r="J9" s="17" t="s">
        <v>222</v>
      </c>
      <c r="K9" s="17" t="s">
        <v>219</v>
      </c>
      <c r="L9" s="57">
        <v>-0.15</v>
      </c>
      <c r="M9" s="57">
        <v>0</v>
      </c>
      <c r="N9" s="57">
        <v>0.1</v>
      </c>
      <c r="O9" s="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100000000000001" customHeight="1">
      <c r="A10" s="40">
        <v>7.5552973556930636E-2</v>
      </c>
      <c r="B10" s="56">
        <f>((DCF!C10/(1+$A10)^DCF!C12+DCF!D10/(1+$A10)^DCF!D12+DCF!E10/(1+$A10)^DCF!E12+DCF!F10/(1+$A10)^DCF!F12+DCF!G10/(1+$A10)^DCF!G12)+((((Forecast!J40*(1+B$5))+(Forecast!J41*(1+B$5))-MAX(((Forecast!J42+Forecast!J43)*(1+B$5)),(Forecast!J41*(1+B$5))+((Forecast!J40*(1+B$5))*B$5/Assumptions!H40))-(Forecast!J6*B$5*Assumptions!G31)+(Forecast!J45*(1+B$5))+(Forecast!J46*(1+B$5))-(Forecast!J47*(1+B$5)))/($A10-B$5))/(1+$A10)^DCF!C30)+(DCF!C50-DCF!C49)+(Assumptions!H53/(1+$A10)^((DATE(2026,12,31)-Assumptions!H57)/365.25)))/Assumptions!H54/Assumptions!H55*100</f>
        <v>593.44900550085833</v>
      </c>
      <c r="C10" s="56">
        <f>((DCF!C10/(1+$A10)^DCF!C12+DCF!D10/(1+$A10)^DCF!D12+DCF!E10/(1+$A10)^DCF!E12+DCF!F10/(1+$A10)^DCF!F12+DCF!G10/(1+$A10)^DCF!G12)+((((Forecast!J40*(1+C$5))+(Forecast!J41*(1+C$5))-MAX(((Forecast!J42+Forecast!J43)*(1+C$5)),(Forecast!J41*(1+C$5))+((Forecast!J40*(1+C$5))*C$5/Assumptions!H40))-(Forecast!J6*C$5*Assumptions!G31)+(Forecast!J45*(1+C$5))+(Forecast!J46*(1+C$5))-(Forecast!J47*(1+C$5)))/($A10-C$5))/(1+$A10)^DCF!C30)+(DCF!C50-DCF!C49)+(Assumptions!H53/(1+$A10)^((DATE(2026,12,31)-Assumptions!H57)/365.25)))/Assumptions!H54/Assumptions!H55*100</f>
        <v>611.65119071117249</v>
      </c>
      <c r="D10" s="56">
        <f>((DCF!C10/(1+$A10)^DCF!C12+DCF!D10/(1+$A10)^DCF!D12+DCF!E10/(1+$A10)^DCF!E12+DCF!F10/(1+$A10)^DCF!F12+DCF!G10/(1+$A10)^DCF!G12)+((((Forecast!J40*(1+D$5))+(Forecast!J41*(1+D$5))-MAX(((Forecast!J42+Forecast!J43)*(1+D$5)),(Forecast!J41*(1+D$5))+((Forecast!J40*(1+D$5))*D$5/Assumptions!H40))-(Forecast!J6*D$5*Assumptions!G31)+(Forecast!J45*(1+D$5))+(Forecast!J46*(1+D$5))-(Forecast!J47*(1+D$5)))/($A10-D$5))/(1+$A10)^DCF!C30)+(DCF!C50-DCF!C49)+(Assumptions!H53/(1+$A10)^((DATE(2026,12,31)-Assumptions!H57)/365.25)))/Assumptions!H54/Assumptions!H55*100</f>
        <v>632.30520840051611</v>
      </c>
      <c r="E10" s="56">
        <f>((DCF!C10/(1+$A10)^DCF!C12+DCF!D10/(1+$A10)^DCF!D12+DCF!E10/(1+$A10)^DCF!E12+DCF!F10/(1+$A10)^DCF!F12+DCF!G10/(1+$A10)^DCF!G12)+((((Forecast!J40*(1+E$5))+(Forecast!J41*(1+E$5))-MAX(((Forecast!J42+Forecast!J43)*(1+E$5)),(Forecast!J41*(1+E$5))+((Forecast!J40*(1+E$5))*E$5/Assumptions!H40))-(Forecast!J6*E$5*Assumptions!G31)+(Forecast!J45*(1+E$5))+(Forecast!J46*(1+E$5))-(Forecast!J47*(1+E$5)))/($A10-E$5))/(1+$A10)^DCF!C30)+(DCF!C50-DCF!C49)+(Assumptions!H53/(1+$A10)^((DATE(2026,12,31)-Assumptions!H57)/365.25)))/Assumptions!H54/Assumptions!H55*100</f>
        <v>656.01841911660676</v>
      </c>
      <c r="F10" s="56">
        <f>((DCF!C10/(1+$A10)^DCF!C12+DCF!D10/(1+$A10)^DCF!D12+DCF!E10/(1+$A10)^DCF!E12+DCF!F10/(1+$A10)^DCF!F12+DCF!G10/(1+$A10)^DCF!G12)+((((Forecast!J40*(1+F$5))+(Forecast!J41*(1+F$5))-MAX(((Forecast!J42+Forecast!J43)*(1+F$5)),(Forecast!J41*(1+F$5))+((Forecast!J40*(1+F$5))*F$5/Assumptions!H40))-(Forecast!J6*F$5*Assumptions!G31)+(Forecast!J45*(1+F$5))+(Forecast!J46*(1+F$5))-(Forecast!J47*(1+F$5)))/($A10-F$5))/(1+$A10)^DCF!C30)+(DCF!C50-DCF!C49)+(Assumptions!H53/(1+$A10)^((DATE(2026,12,31)-Assumptions!H57)/365.25)))/Assumptions!H54/Assumptions!H55*100</f>
        <v>683.61684336677422</v>
      </c>
      <c r="G10" s="56">
        <f>((DCF!C10/(1+$A10)^DCF!C12+DCF!D10/(1+$A10)^DCF!D12+DCF!E10/(1+$A10)^DCF!E12+DCF!F10/(1+$A10)^DCF!F12+DCF!G10/(1+$A10)^DCF!G12)+((((Forecast!J40*(1+G$5))+(Forecast!J41*(1+G$5))-MAX(((Forecast!J42+Forecast!J43)*(1+G$5)),(Forecast!J41*(1+G$5))+((Forecast!J40*(1+G$5))*G$5/Assumptions!H40))-(Forecast!J6*G$5*Assumptions!G31)+(Forecast!J45*(1+G$5))+(Forecast!J46*(1+G$5))-(Forecast!J47*(1+G$5)))/($A10-G$5))/(1+$A10)^DCF!C30)+(DCF!C50-DCF!C49)+(Assumptions!H53/(1+$A10)^((DATE(2026,12,31)-Assumptions!H57)/365.25)))/Assumptions!H54/Assumptions!H55*100</f>
        <v>716.25329569209646</v>
      </c>
      <c r="H10" s="56">
        <f>((DCF!C10/(1+$A10)^DCF!C12+DCF!D10/(1+$A10)^DCF!D12+DCF!E10/(1+$A10)^DCF!E12+DCF!F10/(1+$A10)^DCF!F12+DCF!G10/(1+$A10)^DCF!G12)+((((Forecast!J40*(1+H$5))+(Forecast!J41*(1+H$5))-MAX(((Forecast!J42+Forecast!J43)*(1+H$5)),(Forecast!J41*(1+H$5))+((Forecast!J40*(1+H$5))*H$5/Assumptions!H40))-(Forecast!J6*H$5*Assumptions!G31)+(Forecast!J45*(1+H$5))+(Forecast!J46*(1+H$5))-(Forecast!J47*(1+H$5)))/($A10-H$5))/(1+$A10)^DCF!C30)+(DCF!C50-DCF!C49)+(Assumptions!H53/(1+$A10)^((DATE(2026,12,31)-Assumptions!H57)/365.25)))/Assumptions!H54/Assumptions!H55*100</f>
        <v>755.58673302175964</v>
      </c>
      <c r="I10" s="17"/>
      <c r="J10" s="17" t="s">
        <v>223</v>
      </c>
      <c r="K10" s="17" t="s">
        <v>219</v>
      </c>
      <c r="L10" s="57">
        <v>0.05</v>
      </c>
      <c r="M10" s="57">
        <v>0</v>
      </c>
      <c r="N10" s="57">
        <v>-0.03</v>
      </c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100000000000001" customHeight="1">
      <c r="A11" s="40">
        <v>8.0552973556930627E-2</v>
      </c>
      <c r="B11" s="56">
        <f>((DCF!C10/(1+$A11)^DCF!C12+DCF!D10/(1+$A11)^DCF!D12+DCF!E10/(1+$A11)^DCF!E12+DCF!F10/(1+$A11)^DCF!F12+DCF!G10/(1+$A11)^DCF!G12)+((((Forecast!J40*(1+B$5))+(Forecast!J41*(1+B$5))-MAX(((Forecast!J42+Forecast!J43)*(1+B$5)),(Forecast!J41*(1+B$5))+((Forecast!J40*(1+B$5))*B$5/Assumptions!H40))-(Forecast!J6*B$5*Assumptions!G31)+(Forecast!J45*(1+B$5))+(Forecast!J46*(1+B$5))-(Forecast!J47*(1+B$5)))/($A11-B$5))/(1+$A11)^DCF!C30)+(DCF!C50-DCF!C49)+(Assumptions!H53/(1+$A11)^((DATE(2026,12,31)-Assumptions!H57)/365.25)))/Assumptions!H54/Assumptions!H55*100</f>
        <v>537.98340838816171</v>
      </c>
      <c r="C11" s="56">
        <f>((DCF!C10/(1+$A11)^DCF!C12+DCF!D10/(1+$A11)^DCF!D12+DCF!E10/(1+$A11)^DCF!E12+DCF!F10/(1+$A11)^DCF!F12+DCF!G10/(1+$A11)^DCF!G12)+((((Forecast!J40*(1+C$5))+(Forecast!J41*(1+C$5))-MAX(((Forecast!J42+Forecast!J43)*(1+C$5)),(Forecast!J41*(1+C$5))+((Forecast!J40*(1+C$5))*C$5/Assumptions!H40))-(Forecast!J6*C$5*Assumptions!G31)+(Forecast!J45*(1+C$5))+(Forecast!J46*(1+C$5))-(Forecast!J47*(1+C$5)))/($A11-C$5))/(1+$A11)^DCF!C30)+(DCF!C50-DCF!C49)+(Assumptions!H53/(1+$A11)^((DATE(2026,12,31)-Assumptions!H57)/365.25)))/Assumptions!H54/Assumptions!H55*100</f>
        <v>551.99248491201342</v>
      </c>
      <c r="D11" s="56">
        <f>((DCF!C10/(1+$A11)^DCF!C12+DCF!D10/(1+$A11)^DCF!D12+DCF!E10/(1+$A11)^DCF!E12+DCF!F10/(1+$A11)^DCF!F12+DCF!G10/(1+$A11)^DCF!G12)+((((Forecast!J40*(1+D$5))+(Forecast!J41*(1+D$5))-MAX(((Forecast!J42+Forecast!J43)*(1+D$5)),(Forecast!J41*(1+D$5))+((Forecast!J40*(1+D$5))*D$5/Assumptions!H40))-(Forecast!J6*D$5*Assumptions!G31)+(Forecast!J45*(1+D$5))+(Forecast!J46*(1+D$5))-(Forecast!J47*(1+D$5)))/($A11-D$5))/(1+$A11)^DCF!C30)+(DCF!C50-DCF!C49)+(Assumptions!H53/(1+$A11)^((DATE(2026,12,31)-Assumptions!H57)/365.25)))/Assumptions!H54/Assumptions!H55*100</f>
        <v>567.6913071141953</v>
      </c>
      <c r="E11" s="56">
        <f>((DCF!C10/(1+$A11)^DCF!C12+DCF!D10/(1+$A11)^DCF!D12+DCF!E10/(1+$A11)^DCF!E12+DCF!F10/(1+$A11)^DCF!F12+DCF!G10/(1+$A11)^DCF!G12)+((((Forecast!J40*(1+E$5))+(Forecast!J41*(1+E$5))-MAX(((Forecast!J42+Forecast!J43)*(1+E$5)),(Forecast!J41*(1+E$5))+((Forecast!J40*(1+E$5))*E$5/Assumptions!H40))-(Forecast!J6*E$5*Assumptions!G31)+(Forecast!J45*(1+E$5))+(Forecast!J46*(1+E$5))-(Forecast!J47*(1+E$5)))/($A11-E$5))/(1+$A11)^DCF!C30)+(DCF!C50-DCF!C49)+(Assumptions!H53/(1+$A11)^((DATE(2026,12,31)-Assumptions!H57)/365.25)))/Assumptions!H54/Assumptions!H55*100</f>
        <v>585.46652694655143</v>
      </c>
      <c r="F11" s="56">
        <f>((DCF!C10/(1+$A11)^DCF!C12+DCF!D10/(1+$A11)^DCF!D12+DCF!E10/(1+$A11)^DCF!E12+DCF!F10/(1+$A11)^DCF!F12+DCF!G10/(1+$A11)^DCF!G12)+((((Forecast!J40*(1+F$5))+(Forecast!J41*(1+F$5))-MAX(((Forecast!J42+Forecast!J43)*(1+F$5)),(Forecast!J41*(1+F$5))+((Forecast!J40*(1+F$5))*F$5/Assumptions!H40))-(Forecast!J6*F$5*Assumptions!G31)+(Forecast!J45*(1+F$5))+(Forecast!J46*(1+F$5))-(Forecast!J47*(1+F$5)))/($A11-F$5))/(1+$A11)^DCF!C30)+(DCF!C50-DCF!C49)+(Assumptions!H53/(1+$A11)^((DATE(2026,12,31)-Assumptions!H57)/365.25)))/Assumptions!H54/Assumptions!H55*100</f>
        <v>605.8325033682388</v>
      </c>
      <c r="G11" s="56">
        <f>((DCF!C10/(1+$A11)^DCF!C12+DCF!D10/(1+$A11)^DCF!D12+DCF!E10/(1+$A11)^DCF!E12+DCF!F10/(1+$A11)^DCF!F12+DCF!G10/(1+$A11)^DCF!G12)+((((Forecast!J40*(1+G$5))+(Forecast!J41*(1+G$5))-MAX(((Forecast!J42+Forecast!J43)*(1+G$5)),(Forecast!J41*(1+G$5))+((Forecast!J40*(1+G$5))*G$5/Assumptions!H40))-(Forecast!J6*G$5*Assumptions!G31)+(Forecast!J45*(1+G$5))+(Forecast!J46*(1+G$5))-(Forecast!J47*(1+G$5)))/($A11-G$5))/(1+$A11)^DCF!C30)+(DCF!C50-DCF!C49)+(Assumptions!H53/(1+$A11)^((DATE(2026,12,31)-Assumptions!H57)/365.25)))/Assumptions!H54/Assumptions!H55*100</f>
        <v>629.48877317003155</v>
      </c>
      <c r="H11" s="56">
        <f>((DCF!C10/(1+$A11)^DCF!C12+DCF!D10/(1+$A11)^DCF!D12+DCF!E10/(1+$A11)^DCF!E12+DCF!F10/(1+$A11)^DCF!F12+DCF!G10/(1+$A11)^DCF!G12)+((((Forecast!J40*(1+H$5))+(Forecast!J41*(1+H$5))-MAX(((Forecast!J42+Forecast!J43)*(1+H$5)),(Forecast!J41*(1+H$5))+((Forecast!J40*(1+H$5))*H$5/Assumptions!H40))-(Forecast!J6*H$5*Assumptions!G31)+(Forecast!J45*(1+H$5))+(Forecast!J46*(1+H$5))-(Forecast!J47*(1+H$5)))/($A11-H$5))/(1+$A11)^DCF!C30)+(DCF!C50-DCF!C49)+(Assumptions!H53/(1+$A11)^((DATE(2026,12,31)-Assumptions!H57)/365.25)))/Assumptions!H54/Assumptions!H55*100</f>
        <v>657.41162710653759</v>
      </c>
      <c r="I11" s="17"/>
      <c r="J11" s="17"/>
      <c r="K11" s="17"/>
      <c r="L11" s="17"/>
      <c r="M11" s="17"/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100000000000001" customHeight="1">
      <c r="A12" s="40">
        <v>8.5552973556930631E-2</v>
      </c>
      <c r="B12" s="56">
        <f>((DCF!C10/(1+$A12)^DCF!C12+DCF!D10/(1+$A12)^DCF!D12+DCF!E10/(1+$A12)^DCF!E12+DCF!F10/(1+$A12)^DCF!F12+DCF!G10/(1+$A12)^DCF!G12)+((((Forecast!J40*(1+B$5))+(Forecast!J41*(1+B$5))-MAX(((Forecast!J42+Forecast!J43)*(1+B$5)),(Forecast!J41*(1+B$5))+((Forecast!J40*(1+B$5))*B$5/Assumptions!H40))-(Forecast!J6*B$5*Assumptions!G31)+(Forecast!J45*(1+B$5))+(Forecast!J46*(1+B$5))-(Forecast!J47*(1+B$5)))/($A12-B$5))/(1+$A12)^DCF!C30)+(DCF!C50-DCF!C49)+(Assumptions!H53/(1+$A12)^((DATE(2026,12,31)-Assumptions!H57)/365.25)))/Assumptions!H54/Assumptions!H55*100</f>
        <v>489.04936245351456</v>
      </c>
      <c r="C12" s="56">
        <f>((DCF!C10/(1+$A12)^DCF!C12+DCF!D10/(1+$A12)^DCF!D12+DCF!E10/(1+$A12)^DCF!E12+DCF!F10/(1+$A12)^DCF!F12+DCF!G10/(1+$A12)^DCF!G12)+((((Forecast!J40*(1+C$5))+(Forecast!J41*(1+C$5))-MAX(((Forecast!J42+Forecast!J43)*(1+C$5)),(Forecast!J41*(1+C$5))+((Forecast!J40*(1+C$5))*C$5/Assumptions!H40))-(Forecast!J6*C$5*Assumptions!G31)+(Forecast!J45*(1+C$5))+(Forecast!J46*(1+C$5))-(Forecast!J47*(1+C$5)))/($A12-C$5))/(1+$A12)^DCF!C30)+(DCF!C50-DCF!C49)+(Assumptions!H53/(1+$A12)^((DATE(2026,12,31)-Assumptions!H57)/365.25)))/Assumptions!H54/Assumptions!H55*100</f>
        <v>499.77673903670797</v>
      </c>
      <c r="D12" s="56">
        <f>((DCF!C10/(1+$A12)^DCF!C12+DCF!D10/(1+$A12)^DCF!D12+DCF!E10/(1+$A12)^DCF!E12+DCF!F10/(1+$A12)^DCF!F12+DCF!G10/(1+$A12)^DCF!G12)+((((Forecast!J40*(1+D$5))+(Forecast!J41*(1+D$5))-MAX(((Forecast!J42+Forecast!J43)*(1+D$5)),(Forecast!J41*(1+D$5))+((Forecast!J40*(1+D$5))*D$5/Assumptions!H40))-(Forecast!J6*D$5*Assumptions!G31)+(Forecast!J45*(1+D$5))+(Forecast!J46*(1+D$5))-(Forecast!J47*(1+D$5)))/($A12-D$5))/(1+$A12)^DCF!C30)+(DCF!C50-DCF!C49)+(Assumptions!H53/(1+$A12)^((DATE(2026,12,31)-Assumptions!H57)/365.25)))/Assumptions!H54/Assumptions!H55*100</f>
        <v>511.65313798152664</v>
      </c>
      <c r="E12" s="56">
        <f>((DCF!C10/(1+$A12)^DCF!C12+DCF!D10/(1+$A12)^DCF!D12+DCF!E10/(1+$A12)^DCF!E12+DCF!F10/(1+$A12)^DCF!F12+DCF!G10/(1+$A12)^DCF!G12)+((((Forecast!J40*(1+E$5))+(Forecast!J41*(1+E$5))-MAX(((Forecast!J42+Forecast!J43)*(1+E$5)),(Forecast!J41*(1+E$5))+((Forecast!J40*(1+E$5))*E$5/Assumptions!H40))-(Forecast!J6*E$5*Assumptions!G31)+(Forecast!J45*(1+E$5))+(Forecast!J46*(1+E$5))-(Forecast!J47*(1+E$5)))/($A12-E$5))/(1+$A12)^DCF!C30)+(DCF!C50-DCF!C49)+(Assumptions!H53/(1+$A12)^((DATE(2026,12,31)-Assumptions!H57)/365.25)))/Assumptions!H54/Assumptions!H55*100</f>
        <v>524.92284857239702</v>
      </c>
      <c r="F12" s="56">
        <f>((DCF!C10/(1+$A12)^DCF!C12+DCF!D10/(1+$A12)^DCF!D12+DCF!E10/(1+$A12)^DCF!E12+DCF!F10/(1+$A12)^DCF!F12+DCF!G10/(1+$A12)^DCF!G12)+((((Forecast!J40*(1+F$5))+(Forecast!J41*(1+F$5))-MAX(((Forecast!J42+Forecast!J43)*(1+F$5)),(Forecast!J41*(1+F$5))+((Forecast!J40*(1+F$5))*F$5/Assumptions!H40))-(Forecast!J6*F$5*Assumptions!G31)+(Forecast!J45*(1+F$5))+(Forecast!J46*(1+F$5))-(Forecast!J47*(1+F$5)))/($A12-F$5))/(1+$A12)^DCF!C30)+(DCF!C50-DCF!C49)+(Assumptions!H53/(1+$A12)^((DATE(2026,12,31)-Assumptions!H57)/365.25)))/Assumptions!H54/Assumptions!H55*100</f>
        <v>539.90469196352069</v>
      </c>
      <c r="G12" s="56">
        <f>((DCF!C10/(1+$A12)^DCF!C12+DCF!D10/(1+$A12)^DCF!D12+DCF!E10/(1+$A12)^DCF!E12+DCF!F10/(1+$A12)^DCF!F12+DCF!G10/(1+$A12)^DCF!G12)+((((Forecast!J40*(1+G$5))+(Forecast!J41*(1+G$5))-MAX(((Forecast!J42+Forecast!J43)*(1+G$5)),(Forecast!J41*(1+G$5))+((Forecast!J40*(1+G$5))*G$5/Assumptions!H40))-(Forecast!J6*G$5*Assumptions!G31)+(Forecast!J45*(1+G$5))+(Forecast!J46*(1+G$5))-(Forecast!J47*(1+G$5)))/($A12-G$5))/(1+$A12)^DCF!C30)+(DCF!C50-DCF!C49)+(Assumptions!H53/(1+$A12)^((DATE(2026,12,31)-Assumptions!H57)/365.25)))/Assumptions!H54/Assumptions!H55*100</f>
        <v>557.02279252890003</v>
      </c>
      <c r="H12" s="56">
        <f>((DCF!C10/(1+$A12)^DCF!C12+DCF!D10/(1+$A12)^DCF!D12+DCF!E10/(1+$A12)^DCF!E12+DCF!F10/(1+$A12)^DCF!F12+DCF!G10/(1+$A12)^DCF!G12)+((((Forecast!J40*(1+H$5))+(Forecast!J41*(1+H$5))-MAX(((Forecast!J42+Forecast!J43)*(1+H$5)),(Forecast!J41*(1+H$5))+((Forecast!J40*(1+H$5))*H$5/Assumptions!H40))-(Forecast!J6*H$5*Assumptions!G31)+(Forecast!J45*(1+H$5))+(Forecast!J46*(1+H$5))-(Forecast!J47*(1+H$5)))/($A12-H$5))/(1+$A12)^DCF!C30)+(DCF!C50-DCF!C49)+(Assumptions!H53/(1+$A12)^((DATE(2026,12,31)-Assumptions!H57)/365.25)))/Assumptions!H54/Assumptions!H55*100</f>
        <v>576.85396651368114</v>
      </c>
      <c r="I12" s="17"/>
      <c r="J12" s="86" t="s">
        <v>224</v>
      </c>
      <c r="K12" s="86"/>
      <c r="L12" s="86"/>
      <c r="M12" s="86"/>
      <c r="N12" s="86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100000000000001" customHeight="1">
      <c r="A13" s="17"/>
      <c r="B13" s="17"/>
      <c r="C13" s="17"/>
      <c r="D13" s="17"/>
      <c r="E13" s="17"/>
      <c r="F13" s="17"/>
      <c r="G13" s="17"/>
      <c r="H13" s="17"/>
      <c r="I13" s="17"/>
      <c r="J13" s="3" t="s">
        <v>9</v>
      </c>
      <c r="K13" s="3" t="s">
        <v>11</v>
      </c>
      <c r="L13" s="3" t="s">
        <v>53</v>
      </c>
      <c r="M13" s="3" t="s">
        <v>56</v>
      </c>
      <c r="N13" s="3" t="s">
        <v>59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100000000000001" customHeight="1">
      <c r="A14" s="17"/>
      <c r="B14" s="17"/>
      <c r="C14" s="17"/>
      <c r="D14" s="17"/>
      <c r="E14" s="17"/>
      <c r="F14" s="17"/>
      <c r="G14" s="17"/>
      <c r="H14" s="17"/>
      <c r="I14" s="17"/>
      <c r="J14" s="17" t="s">
        <v>225</v>
      </c>
      <c r="K14" s="17" t="s">
        <v>32</v>
      </c>
      <c r="L14" s="59">
        <f t="shared" ref="L14:N17" si="0">L32</f>
        <v>175969.04261567286</v>
      </c>
      <c r="M14" s="59">
        <f t="shared" si="0"/>
        <v>223978.97431275086</v>
      </c>
      <c r="N14" s="59">
        <f t="shared" si="0"/>
        <v>269258.10148764716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100000000000001" customHeight="1">
      <c r="A15" s="17"/>
      <c r="B15" s="17"/>
      <c r="C15" s="17"/>
      <c r="D15" s="17"/>
      <c r="E15" s="17"/>
      <c r="F15" s="17"/>
      <c r="G15" s="17"/>
      <c r="H15" s="17"/>
      <c r="I15" s="17"/>
      <c r="J15" s="17" t="s">
        <v>226</v>
      </c>
      <c r="K15" s="17" t="s">
        <v>32</v>
      </c>
      <c r="L15" s="59">
        <f t="shared" si="0"/>
        <v>110373.64778267469</v>
      </c>
      <c r="M15" s="59">
        <f t="shared" si="0"/>
        <v>158383.57947975269</v>
      </c>
      <c r="N15" s="59">
        <f t="shared" si="0"/>
        <v>203662.706654649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100000000000001" customHeight="1">
      <c r="A16" s="17"/>
      <c r="B16" s="17"/>
      <c r="C16" s="17"/>
      <c r="D16" s="17"/>
      <c r="E16" s="17"/>
      <c r="F16" s="17"/>
      <c r="G16" s="17"/>
      <c r="H16" s="17"/>
      <c r="I16" s="17"/>
      <c r="J16" s="60" t="s">
        <v>16</v>
      </c>
      <c r="K16" s="60" t="s">
        <v>17</v>
      </c>
      <c r="L16" s="51">
        <f t="shared" si="0"/>
        <v>515.18771126514196</v>
      </c>
      <c r="M16" s="51">
        <f t="shared" si="0"/>
        <v>739.28220597383199</v>
      </c>
      <c r="N16" s="51">
        <f t="shared" si="0"/>
        <v>950.63020765671013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100000000000001" customHeight="1">
      <c r="A17" s="17"/>
      <c r="B17" s="17"/>
      <c r="C17" s="17"/>
      <c r="D17" s="17"/>
      <c r="E17" s="17"/>
      <c r="F17" s="17"/>
      <c r="G17" s="17"/>
      <c r="H17" s="17"/>
      <c r="I17" s="17"/>
      <c r="J17" s="17" t="s">
        <v>26</v>
      </c>
      <c r="K17" s="17" t="s">
        <v>27</v>
      </c>
      <c r="L17" s="61">
        <f t="shared" si="0"/>
        <v>-4.5418359708834677E-2</v>
      </c>
      <c r="M17" s="61">
        <f t="shared" si="0"/>
        <v>0.36980212335340368</v>
      </c>
      <c r="N17" s="61">
        <f t="shared" si="0"/>
        <v>0.76140486873579771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100000000000001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100000000000001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100000000000001" customHeight="1">
      <c r="A20" s="17"/>
      <c r="B20" s="17"/>
      <c r="C20" s="17"/>
      <c r="D20" s="17"/>
      <c r="E20" s="17"/>
      <c r="F20" s="17"/>
      <c r="G20" s="17"/>
      <c r="H20" s="17"/>
      <c r="I20" s="17"/>
      <c r="J20" s="85" t="s">
        <v>227</v>
      </c>
      <c r="K20" s="85"/>
      <c r="L20" s="85"/>
      <c r="M20" s="85"/>
      <c r="N20" s="8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100000000000001" customHeight="1">
      <c r="A21" s="17"/>
      <c r="B21" s="17"/>
      <c r="C21" s="17"/>
      <c r="D21" s="17"/>
      <c r="E21" s="17"/>
      <c r="F21" s="17"/>
      <c r="G21" s="17"/>
      <c r="H21" s="17"/>
      <c r="I21" s="17"/>
      <c r="J21" s="3" t="s">
        <v>9</v>
      </c>
      <c r="K21" s="3" t="s">
        <v>11</v>
      </c>
      <c r="L21" s="3" t="s">
        <v>53</v>
      </c>
      <c r="M21" s="3" t="s">
        <v>56</v>
      </c>
      <c r="N21" s="3" t="s">
        <v>59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100000000000001" customHeight="1">
      <c r="A22" s="17"/>
      <c r="B22" s="17"/>
      <c r="C22" s="17"/>
      <c r="D22" s="17"/>
      <c r="E22" s="17"/>
      <c r="F22" s="17"/>
      <c r="G22" s="17"/>
      <c r="H22" s="17"/>
      <c r="I22" s="17"/>
      <c r="J22" s="17" t="s">
        <v>228</v>
      </c>
      <c r="K22" s="17" t="s">
        <v>32</v>
      </c>
      <c r="L22" s="62">
        <f>(((((((Forecast!F17*(1+$L$6)*(1+$L$7))*Assumptions!C10)-(Forecast!F19*(1+$L$7))-Forecast!F20)+(((Forecast!F23*(1+$L$8)*(1+$L$7))*Assumptions!C18)-(Forecast!F25*(1+$L$7))-Forecast!F26)+(Forecast!F28*(1+$L$9))+Forecast!F29+Forecast!F30)-Forecast!F35-Forecast!F36)*(1-Forecast!F38))+((Forecast!F19*(1+$L$7))+(Forecast!F25*(1+$L$7))+Assumptions!C28)-(Forecast!F42*(1+$L$10))-Forecast!F43-Forecast!F44+Forecast!F45+Forecast!F46-Forecast!F47)</f>
        <v>8180.8352044714011</v>
      </c>
      <c r="M22" s="62">
        <f>(((((((Forecast!F17*(1+$M$6)*(1+$M$7))*Assumptions!C10)-(Forecast!F19*(1+$M$7))-Forecast!F20)+(((Forecast!F23*(1+$M$8)*(1+$M$7))*Assumptions!C18)-(Forecast!F25*(1+$M$7))-Forecast!F26)+(Forecast!F28*(1+$M$9))+Forecast!F29+Forecast!F30)-Forecast!F35-Forecast!F36)*(1-Forecast!F38))+((Forecast!F19*(1+$M$7))+(Forecast!F25*(1+$M$7))+Assumptions!C28)-(Forecast!F42*(1+$M$10))-Forecast!F43-Forecast!F44+Forecast!F45+Forecast!F46-Forecast!F47)</f>
        <v>12657.782624740295</v>
      </c>
      <c r="N22" s="62">
        <f>(((((((Forecast!F17*(1+$N$6)*(1+$N$7))*Assumptions!C10)-(Forecast!F19*(1+$N$7))-Forecast!F20)+(((Forecast!F23*(1+$N$8)*(1+$N$7))*Assumptions!C18)-(Forecast!F25*(1+$N$7))-Forecast!F26)+(Forecast!F28*(1+$N$9))+Forecast!F29+Forecast!F30)-Forecast!F35-Forecast!F36)*(1-Forecast!F38))+((Forecast!F19*(1+$N$7))+(Forecast!F25*(1+$N$7))+Assumptions!C28)-(Forecast!F42*(1+$N$10))-Forecast!F43-Forecast!F44+Forecast!F45+Forecast!F46-Forecast!F47)</f>
        <v>16603.983152462835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100000000000001" customHeight="1">
      <c r="A23" s="17"/>
      <c r="B23" s="17"/>
      <c r="C23" s="17"/>
      <c r="D23" s="17"/>
      <c r="E23" s="17"/>
      <c r="F23" s="17"/>
      <c r="G23" s="17"/>
      <c r="H23" s="17"/>
      <c r="I23" s="17"/>
      <c r="J23" s="17" t="s">
        <v>229</v>
      </c>
      <c r="K23" s="17" t="s">
        <v>32</v>
      </c>
      <c r="L23" s="62">
        <f>(((((((Forecast!G17*(1+$L$6)*(1+$L$7))*Assumptions!D10)-(Forecast!G19*(1+$L$7))-Forecast!G20)+(((Forecast!G23*(1+$L$8)*(1+$L$7))*Assumptions!D18)-(Forecast!G25*(1+$L$7))-Forecast!G26)+(Forecast!G28*(1+$L$9))+Forecast!G29+Forecast!G30)-Forecast!G35-Forecast!G36)*(1-Forecast!G38))+((Forecast!G19*(1+$L$7))+(Forecast!G25*(1+$L$7))+Assumptions!D28)-(Forecast!G42*(1+$L$10))-Forecast!G43-Forecast!G44+Forecast!G45+Forecast!G46-Forecast!G47)</f>
        <v>10325.162233424551</v>
      </c>
      <c r="M23" s="62">
        <f>(((((((Forecast!G17*(1+$M$6)*(1+$M$7))*Assumptions!D10)-(Forecast!G19*(1+$M$7))-Forecast!G20)+(((Forecast!G23*(1+$M$8)*(1+$M$7))*Assumptions!D18)-(Forecast!G25*(1+$M$7))-Forecast!G26)+(Forecast!G28*(1+$M$9))+Forecast!G29+Forecast!G30)-Forecast!G35-Forecast!G36)*(1-Forecast!G38))+((Forecast!G19*(1+$M$7))+(Forecast!G25*(1+$M$7))+Assumptions!D28)-(Forecast!G42*(1+$M$10))-Forecast!G43-Forecast!G44+Forecast!G45+Forecast!G46-Forecast!G47)</f>
        <v>13884.25252337597</v>
      </c>
      <c r="N23" s="62">
        <f>(((((((Forecast!G17*(1+$N$6)*(1+$N$7))*Assumptions!D10)-(Forecast!G19*(1+$N$7))-Forecast!G20)+(((Forecast!G23*(1+$N$8)*(1+$N$7))*Assumptions!D18)-(Forecast!G25*(1+$N$7))-Forecast!G26)+(Forecast!G28*(1+$N$9))+Forecast!G29+Forecast!G30)-Forecast!G35-Forecast!G36)*(1-Forecast!G38))+((Forecast!G19*(1+$N$7))+(Forecast!G25*(1+$N$7))+Assumptions!D28)-(Forecast!G42*(1+$N$10))-Forecast!G43-Forecast!G44+Forecast!G45+Forecast!G46-Forecast!G47)</f>
        <v>17030.277429424084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100000000000001" customHeight="1">
      <c r="A24" s="17"/>
      <c r="B24" s="17"/>
      <c r="C24" s="17"/>
      <c r="D24" s="17"/>
      <c r="E24" s="17"/>
      <c r="F24" s="17"/>
      <c r="G24" s="17"/>
      <c r="H24" s="17"/>
      <c r="I24" s="17"/>
      <c r="J24" s="17" t="s">
        <v>230</v>
      </c>
      <c r="K24" s="17" t="s">
        <v>32</v>
      </c>
      <c r="L24" s="62">
        <f>(((((((Forecast!H17*(1+$L$6)*(1+$L$7))*Assumptions!E10)-(Forecast!H19*(1+$L$7))-Forecast!H20)+(((Forecast!H23*(1+$L$8)*(1+$L$7))*Assumptions!E18)-(Forecast!H25*(1+$L$7))-Forecast!H26)+(Forecast!H28*(1+$L$9))+Forecast!H29+Forecast!H30)-Forecast!H35-Forecast!H36)*(1-Forecast!H38))+((Forecast!H19*(1+$L$7))+(Forecast!H25*(1+$L$7))+Assumptions!E28)-(Forecast!H42*(1+$L$10))-Forecast!H43-Forecast!H44+Forecast!H45+Forecast!H46-Forecast!H47)</f>
        <v>9039.3756602841277</v>
      </c>
      <c r="M24" s="62">
        <f>(((((((Forecast!H17*(1+$M$6)*(1+$M$7))*Assumptions!E10)-(Forecast!H19*(1+$M$7))-Forecast!H20)+(((Forecast!H23*(1+$M$8)*(1+$M$7))*Assumptions!E18)-(Forecast!H25*(1+$M$7))-Forecast!H26)+(Forecast!H28*(1+$M$9))+Forecast!H29+Forecast!H30)-Forecast!H35-Forecast!H36)*(1-Forecast!H38))+((Forecast!H19*(1+$M$7))+(Forecast!H25*(1+$M$7))+Assumptions!E28)-(Forecast!H42*(1+$M$10))-Forecast!H43-Forecast!H44+Forecast!H45+Forecast!H46-Forecast!H47)</f>
        <v>12589.17092358127</v>
      </c>
      <c r="N24" s="62">
        <f>(((((((Forecast!H17*(1+$N$6)*(1+$N$7))*Assumptions!E10)-(Forecast!H19*(1+$N$7))-Forecast!H20)+(((Forecast!H23*(1+$N$8)*(1+$N$7))*Assumptions!E18)-(Forecast!H25*(1+$N$7))-Forecast!H26)+(Forecast!H28*(1+$N$9))+Forecast!H29+Forecast!H30)-Forecast!H35-Forecast!H36)*(1-Forecast!H38))+((Forecast!H19*(1+$N$7))+(Forecast!H25*(1+$N$7))+Assumptions!E28)-(Forecast!H42*(1+$N$10))-Forecast!H43-Forecast!H44+Forecast!H45+Forecast!H46-Forecast!H47)</f>
        <v>15755.545547817586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100000000000001" customHeight="1">
      <c r="A25" s="17"/>
      <c r="B25" s="17"/>
      <c r="C25" s="17"/>
      <c r="D25" s="17"/>
      <c r="E25" s="17"/>
      <c r="F25" s="17"/>
      <c r="G25" s="17"/>
      <c r="H25" s="17"/>
      <c r="I25" s="17"/>
      <c r="J25" s="17" t="s">
        <v>231</v>
      </c>
      <c r="K25" s="17" t="s">
        <v>32</v>
      </c>
      <c r="L25" s="62">
        <f>(((((((Forecast!I17*(1+$L$6)*(1+$L$7))*Assumptions!F10)-(Forecast!I19*(1+$L$7))-Forecast!I20)+(((Forecast!I23*(1+$L$8)*(1+$L$7))*Assumptions!F18)-(Forecast!I25*(1+$L$7))-Forecast!I26)+(Forecast!I28*(1+$L$9))+Forecast!I29+Forecast!I30)-Forecast!I35-Forecast!I36)*(1-Forecast!I38))+((Forecast!I19*(1+$L$7))+(Forecast!I25*(1+$L$7))+Assumptions!F28)-(Forecast!I42*(1+$L$10))-Forecast!I43-Forecast!I44+Forecast!I45+Forecast!I46-Forecast!I47)</f>
        <v>9742.5418599329187</v>
      </c>
      <c r="M25" s="62">
        <f>(((((((Forecast!I17*(1+$M$6)*(1+$M$7))*Assumptions!F10)-(Forecast!I19*(1+$M$7))-Forecast!I20)+(((Forecast!I23*(1+$M$8)*(1+$M$7))*Assumptions!F18)-(Forecast!I25*(1+$M$7))-Forecast!I26)+(Forecast!I28*(1+$M$9))+Forecast!I29+Forecast!I30)-Forecast!I35-Forecast!I36)*(1-Forecast!I38))+((Forecast!I19*(1+$M$7))+(Forecast!I25*(1+$M$7))+Assumptions!F28)-(Forecast!I42*(1+$M$10))-Forecast!I43-Forecast!I44+Forecast!I45+Forecast!I46-Forecast!I47)</f>
        <v>13450.780170247037</v>
      </c>
      <c r="N25" s="62">
        <f>(((((((Forecast!I17*(1+$N$6)*(1+$N$7))*Assumptions!F10)-(Forecast!I19*(1+$N$7))-Forecast!I20)+(((Forecast!I23*(1+$N$8)*(1+$N$7))*Assumptions!F18)-(Forecast!I25*(1+$N$7))-Forecast!I26)+(Forecast!I28*(1+$N$9))+Forecast!I29+Forecast!I30)-Forecast!I35-Forecast!I36)*(1-Forecast!I38))+((Forecast!I19*(1+$N$7))+(Forecast!I25*(1+$N$7))+Assumptions!F28)-(Forecast!I42*(1+$N$10))-Forecast!I43-Forecast!I44+Forecast!I45+Forecast!I46-Forecast!I47)</f>
        <v>16780.483914789962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100000000000001" customHeight="1">
      <c r="A26" s="17"/>
      <c r="B26" s="17"/>
      <c r="C26" s="17"/>
      <c r="D26" s="17"/>
      <c r="E26" s="17"/>
      <c r="F26" s="17"/>
      <c r="G26" s="17"/>
      <c r="H26" s="17"/>
      <c r="I26" s="17"/>
      <c r="J26" s="17" t="s">
        <v>232</v>
      </c>
      <c r="K26" s="17" t="s">
        <v>32</v>
      </c>
      <c r="L26" s="62">
        <f>(((((((Forecast!J17*(1+$L$6)*(1+$L$7))*Assumptions!G10)-(Forecast!J19*(1+$L$7))-Forecast!J20)+(((Forecast!J23*(1+$L$8)*(1+$L$7))*Assumptions!G18)-(Forecast!J25*(1+$L$7))-Forecast!J26)+(Forecast!J28*(1+$L$9))+Forecast!J29+Forecast!J30)-Forecast!J35-Forecast!J36)*(1-Forecast!J38))+((Forecast!J19*(1+$L$7))+(Forecast!J25*(1+$L$7))+Assumptions!G28)-(Forecast!J42*(1+$L$10))-Forecast!J43-Forecast!J44+Forecast!J45+Forecast!J46-Forecast!J47)</f>
        <v>11306.524148486347</v>
      </c>
      <c r="M26" s="62">
        <f>(((((((Forecast!J17*(1+$M$6)*(1+$M$7))*Assumptions!G10)-(Forecast!J19*(1+$M$7))-Forecast!J20)+(((Forecast!J23*(1+$M$8)*(1+$M$7))*Assumptions!G18)-(Forecast!J25*(1+$M$7))-Forecast!J26)+(Forecast!J28*(1+$M$9))+Forecast!J29+Forecast!J30)-Forecast!J35-Forecast!J36)*(1-Forecast!J38))+((Forecast!J19*(1+$M$7))+(Forecast!J25*(1+$M$7))+Assumptions!G28)-(Forecast!J42*(1+$M$10))-Forecast!J43-Forecast!J44+Forecast!J45+Forecast!J46-Forecast!J47)</f>
        <v>15205.398166579205</v>
      </c>
      <c r="N26" s="62">
        <f>(((((((Forecast!J17*(1+$N$6)*(1+$N$7))*Assumptions!G10)-(Forecast!J19*(1+$N$7))-Forecast!J20)+(((Forecast!J23*(1+$N$8)*(1+$N$7))*Assumptions!G18)-(Forecast!J25*(1+$N$7))-Forecast!J26)+(Forecast!J28*(1+$N$9))+Forecast!J29+Forecast!J30)-Forecast!J35-Forecast!J36)*(1-Forecast!J38))+((Forecast!J19*(1+$N$7))+(Forecast!J25*(1+$N$7))+Assumptions!G28)-(Forecast!J42*(1+$N$10))-Forecast!J43-Forecast!J44+Forecast!J45+Forecast!J46-Forecast!J47)</f>
        <v>18732.093390022044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100000000000001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62"/>
      <c r="M27" s="62"/>
      <c r="N27" s="6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100000000000001" customHeight="1">
      <c r="A28" s="17"/>
      <c r="B28" s="17"/>
      <c r="C28" s="17"/>
      <c r="D28" s="17"/>
      <c r="E28" s="17"/>
      <c r="F28" s="17"/>
      <c r="G28" s="17"/>
      <c r="H28" s="17"/>
      <c r="I28" s="17"/>
      <c r="J28" s="17" t="s">
        <v>233</v>
      </c>
      <c r="K28" s="17" t="s">
        <v>32</v>
      </c>
      <c r="L28" s="62">
        <f>((((((Forecast!J17*(1+$L$6)*(1+$L$7))*Assumptions!G10)-(Forecast!J19*(1+$L$7))-Forecast!J20)+(((Forecast!J23*(1+$L$8)*(1+$L$7))*Assumptions!G18)-(Forecast!J25*(1+$L$7))-Forecast!J26)+(Forecast!J28*(1+$L$9))+Forecast!J29+Forecast!J30)-Forecast!J35-Forecast!J36)*(1-Forecast!J38))</f>
        <v>9683.0299398951756</v>
      </c>
      <c r="M28" s="62">
        <f>((((((Forecast!J17*(1+$M$6)*(1+$M$7))*Assumptions!G10)-(Forecast!J19*(1+$M$7))-Forecast!J20)+(((Forecast!J23*(1+$M$8)*(1+$M$7))*Assumptions!G18)-(Forecast!J25*(1+$M$7))-Forecast!J26)+(Forecast!J28*(1+$M$9))+Forecast!J29+Forecast!J30)-Forecast!J35-Forecast!J36)*(1-Forecast!J38))</f>
        <v>12502.404557171072</v>
      </c>
      <c r="N28" s="62">
        <f>((((((Forecast!J17*(1+$N$6)*(1+$N$7))*Assumptions!G10)-(Forecast!J19*(1+$N$7))-Forecast!J20)+(((Forecast!J23*(1+$N$8)*(1+$N$7))*Assumptions!G18)-(Forecast!J25*(1+$N$7))-Forecast!J26)+(Forecast!J28*(1+$N$9))+Forecast!J29+Forecast!J30)-Forecast!J35-Forecast!J36)*(1-Forecast!J38))</f>
        <v>15229.600379796948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100000000000001" customHeight="1">
      <c r="A29" s="17"/>
      <c r="B29" s="17"/>
      <c r="C29" s="17"/>
      <c r="D29" s="17"/>
      <c r="E29" s="17"/>
      <c r="F29" s="17"/>
      <c r="G29" s="17"/>
      <c r="H29" s="17"/>
      <c r="I29" s="17"/>
      <c r="J29" s="17" t="s">
        <v>234</v>
      </c>
      <c r="K29" s="17" t="s">
        <v>32</v>
      </c>
      <c r="L29" s="62">
        <f>((Forecast!J19*(1+$L$7))+(Forecast!J25*(1+$L$7))+Assumptions!G28)</f>
        <v>17619.860361135041</v>
      </c>
      <c r="M29" s="62">
        <f>((Forecast!J19*(1+$M$7))+(Forecast!J25*(1+$M$7))+Assumptions!G28)</f>
        <v>17999.359761952001</v>
      </c>
      <c r="N29" s="62">
        <f>((Forecast!J19*(1+$N$7))+(Forecast!J25*(1+$N$7))+Assumptions!G28)</f>
        <v>18378.859162768964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100000000000001" customHeight="1">
      <c r="A30" s="17"/>
      <c r="B30" s="17"/>
      <c r="C30" s="17"/>
      <c r="D30" s="17"/>
      <c r="E30" s="17"/>
      <c r="F30" s="17"/>
      <c r="G30" s="17"/>
      <c r="H30" s="17"/>
      <c r="I30" s="17"/>
      <c r="J30" s="17" t="s">
        <v>235</v>
      </c>
      <c r="K30" s="17" t="s">
        <v>32</v>
      </c>
      <c r="L30" s="62">
        <f>(Forecast!J42*(1+$L$10))</f>
        <v>14700</v>
      </c>
      <c r="M30" s="62">
        <f>(Forecast!J42*(1+$M$10))</f>
        <v>14000</v>
      </c>
      <c r="N30" s="62">
        <f>(Forecast!J42*(1+$N$10))</f>
        <v>13580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100000000000001" customHeight="1">
      <c r="A31" s="17"/>
      <c r="B31" s="17"/>
      <c r="C31" s="17"/>
      <c r="D31" s="17"/>
      <c r="E31" s="17"/>
      <c r="F31" s="17"/>
      <c r="G31" s="17"/>
      <c r="H31" s="17"/>
      <c r="I31" s="17"/>
      <c r="J31" s="17" t="s">
        <v>236</v>
      </c>
      <c r="K31" s="17" t="s">
        <v>32</v>
      </c>
      <c r="L31" s="62">
        <f>((L28*(1+Assumptions!H39))+(L29*(1+Assumptions!H39))-MAX(((L30+Forecast!J43)*(1+Assumptions!H39)),(L29*(1+Assumptions!H39))+((L28*(1+Assumptions!H39))*Assumptions!H39/Assumptions!H40))-(Forecast!J6*Assumptions!H39*Assumptions!G31)+(Forecast!J45*(1+Assumptions!H39))+(Forecast!J46*(1+Assumptions!H39))-(Forecast!J47*(1+Assumptions!H39)))</f>
        <v>10382.983282280404</v>
      </c>
      <c r="M31" s="62">
        <f>((M28*(1+Assumptions!H39))+(M29*(1+Assumptions!H39))-MAX(((M30+Forecast!J43)*(1+Assumptions!H39)),(M29*(1+Assumptions!H39))+((M28*(1+Assumptions!H39))*Assumptions!H39/Assumptions!H40))-(Forecast!J6*Assumptions!H39*Assumptions!G31)+(Forecast!J45*(1+Assumptions!H39))+(Forecast!J46*(1+Assumptions!H39))-(Forecast!J47*(1+Assumptions!H39)))</f>
        <v>12815.398733335182</v>
      </c>
      <c r="N31" s="62">
        <f>((N28*(1+Assumptions!H39))+(N29*(1+Assumptions!H39))-MAX(((N30+Forecast!J43)*(1+Assumptions!H39)),(N29*(1+Assumptions!H39))+((N28*(1+Assumptions!H39))*Assumptions!H39/Assumptions!H40))-(Forecast!J6*Assumptions!H39*Assumptions!G31)+(Forecast!J45*(1+Assumptions!H39))+(Forecast!J46*(1+Assumptions!H39))-(Forecast!J47*(1+Assumptions!H39)))</f>
        <v>15168.286929305656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100000000000001" customHeight="1">
      <c r="A32" s="17"/>
      <c r="B32" s="17"/>
      <c r="C32" s="17"/>
      <c r="D32" s="17"/>
      <c r="E32" s="17"/>
      <c r="F32" s="17"/>
      <c r="G32" s="17"/>
      <c r="H32" s="17"/>
      <c r="I32" s="17"/>
      <c r="J32" s="17" t="s">
        <v>225</v>
      </c>
      <c r="K32" s="17" t="s">
        <v>32</v>
      </c>
      <c r="L32" s="62">
        <f>(((L22-Support!C28)*DCF!C9)/(1+Assumptions!C51)^DCF!C12+L23/(1+Assumptions!C51)^DCF!D12+L24/(1+Assumptions!C51)^DCF!E12+L25/(1+Assumptions!C51)^DCF!F12+L26/(1+Assumptions!C51)^DCF!G12)+((L31/(Assumptions!C51-Assumptions!H39))/(1+Assumptions!C51)^DCF!C30)</f>
        <v>175969.04261567286</v>
      </c>
      <c r="M32" s="62">
        <f>(((M22-Support!C28)*DCF!C9)/(1+Assumptions!C51)^DCF!C12+M23/(1+Assumptions!C51)^DCF!D12+M24/(1+Assumptions!C51)^DCF!E12+M25/(1+Assumptions!C51)^DCF!F12+M26/(1+Assumptions!C51)^DCF!G12)+((M31/(Assumptions!C51-Assumptions!H39))/(1+Assumptions!C51)^DCF!C30)</f>
        <v>223978.97431275086</v>
      </c>
      <c r="N32" s="62">
        <f>(((N22-Support!C28)*DCF!C9)/(1+Assumptions!C51)^DCF!C12+N23/(1+Assumptions!C51)^DCF!D12+N24/(1+Assumptions!C51)^DCF!E12+N25/(1+Assumptions!C51)^DCF!F12+N26/(1+Assumptions!C51)^DCF!G12)+((N31/(Assumptions!C51-Assumptions!H39))/(1+Assumptions!C51)^DCF!C30)</f>
        <v>269258.10148764716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100000000000001" customHeight="1">
      <c r="A33" s="17"/>
      <c r="B33" s="17"/>
      <c r="C33" s="17"/>
      <c r="D33" s="17"/>
      <c r="E33" s="17"/>
      <c r="F33" s="17"/>
      <c r="G33" s="17"/>
      <c r="H33" s="17"/>
      <c r="I33" s="17"/>
      <c r="J33" s="17" t="s">
        <v>226</v>
      </c>
      <c r="K33" s="17" t="s">
        <v>32</v>
      </c>
      <c r="L33" s="62">
        <f>L32+DCF!C50</f>
        <v>110373.64778267469</v>
      </c>
      <c r="M33" s="62">
        <f>M32+DCF!C50</f>
        <v>158383.57947975269</v>
      </c>
      <c r="N33" s="62">
        <f>N32+DCF!C50</f>
        <v>203662.706654649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100000000000001" customHeight="1">
      <c r="A34" s="17"/>
      <c r="B34" s="17"/>
      <c r="C34" s="17"/>
      <c r="D34" s="17"/>
      <c r="E34" s="17"/>
      <c r="F34" s="17"/>
      <c r="G34" s="17"/>
      <c r="H34" s="17"/>
      <c r="I34" s="17"/>
      <c r="J34" s="17" t="s">
        <v>16</v>
      </c>
      <c r="K34" s="17" t="s">
        <v>17</v>
      </c>
      <c r="L34" s="63">
        <f>L33/Assumptions!H54/Assumptions!H55*100</f>
        <v>515.18771126514196</v>
      </c>
      <c r="M34" s="63">
        <f>M33/Assumptions!H54/Assumptions!H55*100</f>
        <v>739.28220597383199</v>
      </c>
      <c r="N34" s="63">
        <f>N33/Assumptions!H54/Assumptions!H55*100</f>
        <v>950.63020765671013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100000000000001" customHeight="1">
      <c r="A35" s="17"/>
      <c r="B35" s="17"/>
      <c r="C35" s="17"/>
      <c r="D35" s="17"/>
      <c r="E35" s="17"/>
      <c r="F35" s="17"/>
      <c r="G35" s="17"/>
      <c r="H35" s="17"/>
      <c r="I35" s="17"/>
      <c r="J35" s="17" t="s">
        <v>26</v>
      </c>
      <c r="K35" s="17" t="s">
        <v>27</v>
      </c>
      <c r="L35" s="64">
        <f>L34/Assumptions!H56-1</f>
        <v>-4.5418359708834677E-2</v>
      </c>
      <c r="M35" s="64">
        <f>M34/Assumptions!H56-1</f>
        <v>0.36980212335340368</v>
      </c>
      <c r="N35" s="64">
        <f>N34/Assumptions!H56-1</f>
        <v>0.76140486873579771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J20:N20"/>
    <mergeCell ref="A1:O1"/>
    <mergeCell ref="A2:O2"/>
    <mergeCell ref="A4:H4"/>
    <mergeCell ref="J4:N4"/>
    <mergeCell ref="J12:N12"/>
  </mergeCells>
  <conditionalFormatting sqref="B6:H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F1"/>
    </sheetView>
  </sheetViews>
  <sheetFormatPr defaultRowHeight="14.25"/>
  <cols>
    <col min="1" max="1" width="34" customWidth="1"/>
    <col min="2" max="2" width="10" customWidth="1"/>
    <col min="3" max="5" width="13" customWidth="1"/>
    <col min="6" max="6" width="24" customWidth="1"/>
  </cols>
  <sheetData>
    <row r="1" spans="1:26" ht="24" customHeight="1">
      <c r="A1" s="81" t="s">
        <v>237</v>
      </c>
      <c r="B1" s="81"/>
      <c r="C1" s="81"/>
      <c r="D1" s="81"/>
      <c r="E1" s="81"/>
      <c r="F1" s="8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238</v>
      </c>
      <c r="B2" s="82"/>
      <c r="C2" s="82"/>
      <c r="D2" s="82"/>
      <c r="E2" s="82"/>
      <c r="F2" s="8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100000000000001" customHeight="1">
      <c r="A4" s="83" t="s">
        <v>239</v>
      </c>
      <c r="B4" s="83"/>
      <c r="C4" s="83"/>
      <c r="D4" s="83"/>
      <c r="E4" s="83"/>
      <c r="F4" s="8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100000000000001" customHeight="1">
      <c r="A5" s="3" t="s">
        <v>9</v>
      </c>
      <c r="B5" s="3" t="s">
        <v>11</v>
      </c>
      <c r="C5" s="37" t="s">
        <v>240</v>
      </c>
      <c r="D5" s="37" t="s">
        <v>241</v>
      </c>
      <c r="E5" s="37" t="s">
        <v>242</v>
      </c>
      <c r="F5" s="3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100000000000001" customHeight="1">
      <c r="A6" s="25" t="s">
        <v>152</v>
      </c>
      <c r="B6" s="5" t="s">
        <v>32</v>
      </c>
      <c r="C6" s="7">
        <v>121360</v>
      </c>
      <c r="D6" s="7">
        <v>109293.66459761158</v>
      </c>
      <c r="E6" s="19">
        <f t="shared" ref="E6:E22" si="0">C6+D6</f>
        <v>230653.66459761158</v>
      </c>
      <c r="F6" s="5" t="s">
        <v>90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100000000000001" customHeight="1">
      <c r="A7" s="25" t="s">
        <v>159</v>
      </c>
      <c r="B7" s="5" t="s">
        <v>32</v>
      </c>
      <c r="C7" s="7">
        <v>5562</v>
      </c>
      <c r="D7" s="7">
        <v>7672.506416577382</v>
      </c>
      <c r="E7" s="19">
        <f t="shared" si="0"/>
        <v>13234.506416577382</v>
      </c>
      <c r="F7" s="5" t="s">
        <v>67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100000000000001" customHeight="1">
      <c r="A8" s="25" t="s">
        <v>164</v>
      </c>
      <c r="B8" s="5" t="s">
        <v>32</v>
      </c>
      <c r="C8" s="7">
        <v>3458</v>
      </c>
      <c r="D8" s="7">
        <v>2411.3055710622184</v>
      </c>
      <c r="E8" s="19">
        <f t="shared" si="0"/>
        <v>5869.3055710622184</v>
      </c>
      <c r="F8" s="5" t="s">
        <v>67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100000000000001" customHeight="1">
      <c r="A9" s="25" t="s">
        <v>86</v>
      </c>
      <c r="B9" s="5" t="s">
        <v>32</v>
      </c>
      <c r="C9" s="7">
        <v>2780</v>
      </c>
      <c r="D9" s="7">
        <v>2050</v>
      </c>
      <c r="E9" s="19">
        <f t="shared" si="0"/>
        <v>4830</v>
      </c>
      <c r="F9" s="5" t="s">
        <v>67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100000000000001" customHeight="1">
      <c r="A10" s="25" t="s">
        <v>87</v>
      </c>
      <c r="B10" s="5" t="s">
        <v>32</v>
      </c>
      <c r="C10" s="7">
        <v>5377</v>
      </c>
      <c r="D10" s="7">
        <v>1800</v>
      </c>
      <c r="E10" s="19">
        <f t="shared" si="0"/>
        <v>7177</v>
      </c>
      <c r="F10" s="5" t="s">
        <v>67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100000000000001" customHeight="1">
      <c r="A11" s="25" t="s">
        <v>88</v>
      </c>
      <c r="B11" s="5" t="s">
        <v>32</v>
      </c>
      <c r="C11" s="7">
        <v>-617</v>
      </c>
      <c r="D11" s="7">
        <v>-383</v>
      </c>
      <c r="E11" s="19">
        <f t="shared" si="0"/>
        <v>-1000</v>
      </c>
      <c r="F11" s="5" t="s">
        <v>67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100000000000001" customHeight="1">
      <c r="A12" s="25" t="s">
        <v>89</v>
      </c>
      <c r="B12" s="5" t="s">
        <v>32</v>
      </c>
      <c r="C12" s="7">
        <v>21</v>
      </c>
      <c r="D12" s="7">
        <v>0</v>
      </c>
      <c r="E12" s="19">
        <f t="shared" si="0"/>
        <v>21</v>
      </c>
      <c r="F12" s="5" t="s">
        <v>90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100000000000001" customHeight="1">
      <c r="A13" s="25" t="s">
        <v>243</v>
      </c>
      <c r="B13" s="5" t="s">
        <v>32</v>
      </c>
      <c r="C13" s="7">
        <v>1259</v>
      </c>
      <c r="D13" s="7">
        <v>1241</v>
      </c>
      <c r="E13" s="19">
        <f t="shared" si="0"/>
        <v>2500</v>
      </c>
      <c r="F13" s="5" t="s">
        <v>67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100000000000001" customHeight="1">
      <c r="A14" s="25" t="s">
        <v>92</v>
      </c>
      <c r="B14" s="5" t="s">
        <v>32</v>
      </c>
      <c r="C14" s="7">
        <v>650</v>
      </c>
      <c r="D14" s="7">
        <v>702</v>
      </c>
      <c r="E14" s="19">
        <f t="shared" si="0"/>
        <v>1352</v>
      </c>
      <c r="F14" s="5" t="s">
        <v>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100000000000001" customHeight="1">
      <c r="A15" s="25" t="s">
        <v>170</v>
      </c>
      <c r="B15" s="5" t="s">
        <v>32</v>
      </c>
      <c r="C15" s="7">
        <v>4841.76</v>
      </c>
      <c r="D15" s="7">
        <v>5013.1694953648494</v>
      </c>
      <c r="E15" s="19">
        <f t="shared" si="0"/>
        <v>9854.9294953648496</v>
      </c>
      <c r="F15" s="5" t="s">
        <v>67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100000000000001" customHeight="1">
      <c r="A16" s="25" t="s">
        <v>172</v>
      </c>
      <c r="B16" s="5" t="s">
        <v>32</v>
      </c>
      <c r="C16" s="7">
        <v>8559</v>
      </c>
      <c r="D16" s="7">
        <v>8380.3500000000022</v>
      </c>
      <c r="E16" s="19">
        <f t="shared" si="0"/>
        <v>16939.350000000002</v>
      </c>
      <c r="F16" s="5" t="s">
        <v>67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100000000000001" customHeight="1">
      <c r="A17" s="25" t="s">
        <v>96</v>
      </c>
      <c r="B17" s="5" t="s">
        <v>32</v>
      </c>
      <c r="C17" s="7">
        <v>6376</v>
      </c>
      <c r="D17" s="7">
        <v>7374</v>
      </c>
      <c r="E17" s="19">
        <f t="shared" si="0"/>
        <v>13750</v>
      </c>
      <c r="F17" s="5" t="s">
        <v>90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100000000000001" customHeight="1">
      <c r="A18" s="25" t="s">
        <v>97</v>
      </c>
      <c r="B18" s="5" t="s">
        <v>32</v>
      </c>
      <c r="C18" s="7">
        <v>1550</v>
      </c>
      <c r="D18" s="7">
        <v>1550</v>
      </c>
      <c r="E18" s="19">
        <f t="shared" si="0"/>
        <v>3100</v>
      </c>
      <c r="F18" s="5" t="s">
        <v>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100000000000001" customHeight="1">
      <c r="A19" s="25" t="s">
        <v>173</v>
      </c>
      <c r="B19" s="5" t="s">
        <v>32</v>
      </c>
      <c r="C19" s="7">
        <v>7046</v>
      </c>
      <c r="D19" s="7">
        <v>-831.55013246554518</v>
      </c>
      <c r="E19" s="19">
        <f t="shared" si="0"/>
        <v>6214.4498675344548</v>
      </c>
      <c r="F19" s="5" t="s">
        <v>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100000000000001" customHeight="1">
      <c r="A20" s="25" t="s">
        <v>100</v>
      </c>
      <c r="B20" s="5" t="s">
        <v>32</v>
      </c>
      <c r="C20" s="7">
        <v>943</v>
      </c>
      <c r="D20" s="7">
        <v>1157</v>
      </c>
      <c r="E20" s="19">
        <f t="shared" si="0"/>
        <v>2100</v>
      </c>
      <c r="F20" s="5" t="s">
        <v>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100000000000001" customHeight="1">
      <c r="A21" s="25" t="s">
        <v>174</v>
      </c>
      <c r="B21" s="5" t="s">
        <v>32</v>
      </c>
      <c r="C21" s="7">
        <v>528</v>
      </c>
      <c r="D21" s="7">
        <v>230</v>
      </c>
      <c r="E21" s="19">
        <f t="shared" si="0"/>
        <v>758</v>
      </c>
      <c r="F21" s="5" t="s">
        <v>67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100000000000001" customHeight="1">
      <c r="A22" s="25" t="s">
        <v>101</v>
      </c>
      <c r="B22" s="5" t="s">
        <v>32</v>
      </c>
      <c r="C22" s="7">
        <v>312</v>
      </c>
      <c r="D22" s="7">
        <v>188</v>
      </c>
      <c r="E22" s="19">
        <f t="shared" si="0"/>
        <v>500</v>
      </c>
      <c r="F22" s="5" t="s">
        <v>67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100000000000001" customHeight="1">
      <c r="A23" s="25"/>
      <c r="B23" s="5"/>
      <c r="C23" s="19"/>
      <c r="D23" s="19"/>
      <c r="E23" s="19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100000000000001" customHeight="1">
      <c r="A24" s="86" t="s">
        <v>244</v>
      </c>
      <c r="B24" s="87"/>
      <c r="C24" s="88"/>
      <c r="D24" s="88"/>
      <c r="E24" s="88"/>
      <c r="F24" s="8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100000000000001" customHeight="1">
      <c r="A25" s="25" t="s">
        <v>34</v>
      </c>
      <c r="B25" s="5" t="s">
        <v>32</v>
      </c>
      <c r="C25" s="19">
        <f>C7+C8+C9+C10+C11+C12</f>
        <v>16581</v>
      </c>
      <c r="D25" s="19">
        <f>D7+D8+D9+D10+D11+D12</f>
        <v>13550.811987639601</v>
      </c>
      <c r="E25" s="19">
        <f>E7+E8+E9+E10+E11+E12</f>
        <v>30131.811987639601</v>
      </c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100000000000001" customHeight="1">
      <c r="A26" s="25" t="s">
        <v>169</v>
      </c>
      <c r="B26" s="5" t="s">
        <v>32</v>
      </c>
      <c r="C26" s="19">
        <f>C25-C13-C14</f>
        <v>14672</v>
      </c>
      <c r="D26" s="19">
        <f>D25-D13-D14</f>
        <v>11607.811987639601</v>
      </c>
      <c r="E26" s="19">
        <f>E25-E13-E14</f>
        <v>26279.811987639601</v>
      </c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100000000000001" customHeight="1">
      <c r="A27" s="25" t="s">
        <v>171</v>
      </c>
      <c r="B27" s="5" t="s">
        <v>32</v>
      </c>
      <c r="C27" s="19">
        <f>C26-C15</f>
        <v>9830.24</v>
      </c>
      <c r="D27" s="19">
        <f>D26-D15</f>
        <v>6594.6424922747519</v>
      </c>
      <c r="E27" s="19">
        <f>E26-E15</f>
        <v>16424.882492274752</v>
      </c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100000000000001" customHeight="1">
      <c r="A28" s="27" t="s">
        <v>38</v>
      </c>
      <c r="B28" s="73" t="s">
        <v>32</v>
      </c>
      <c r="C28" s="21">
        <f>C27+C16-C17-C18-C19+C20+C21-C22</f>
        <v>4576.239999999998</v>
      </c>
      <c r="D28" s="21">
        <f>D27+D16-D17-D18-D19+D20+D21-D22</f>
        <v>8081.5426247402993</v>
      </c>
      <c r="E28" s="21">
        <f>E27+E16-E17-E18-E19+E20+E21-E22</f>
        <v>12657.782624740295</v>
      </c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100000000000001" customHeight="1">
      <c r="A29" s="25"/>
      <c r="B29" s="5"/>
      <c r="C29" s="19"/>
      <c r="D29" s="19"/>
      <c r="E29" s="19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100000000000001" customHeight="1">
      <c r="A30" s="25"/>
      <c r="B30" s="5"/>
      <c r="C30" s="19"/>
      <c r="D30" s="19"/>
      <c r="E30" s="19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100000000000001" customHeight="1">
      <c r="A31" s="83" t="s">
        <v>245</v>
      </c>
      <c r="B31" s="89"/>
      <c r="C31" s="90"/>
      <c r="D31" s="90"/>
      <c r="E31" s="90"/>
      <c r="F31" s="8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100000000000001" customHeight="1">
      <c r="A32" s="26" t="s">
        <v>246</v>
      </c>
      <c r="B32" s="74" t="s">
        <v>11</v>
      </c>
      <c r="C32" s="75" t="s">
        <v>151</v>
      </c>
      <c r="D32" s="75" t="s">
        <v>4</v>
      </c>
      <c r="E32" s="75" t="s">
        <v>5</v>
      </c>
      <c r="F32" s="74" t="s">
        <v>247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100000000000001" customHeight="1">
      <c r="A33" s="25" t="s">
        <v>248</v>
      </c>
      <c r="B33" s="5" t="s">
        <v>32</v>
      </c>
      <c r="C33" s="7">
        <v>6524</v>
      </c>
      <c r="D33" s="7">
        <v>12738.449867534455</v>
      </c>
      <c r="E33" s="19">
        <f>D33+Forecast!G44</f>
        <v>11094.090790982693</v>
      </c>
      <c r="F33" s="5" t="s">
        <v>249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100000000000001" customHeight="1">
      <c r="A34" s="25" t="s">
        <v>250</v>
      </c>
      <c r="B34" s="5" t="s">
        <v>251</v>
      </c>
      <c r="C34" s="7">
        <v>365</v>
      </c>
      <c r="D34" s="7">
        <v>365</v>
      </c>
      <c r="E34" s="7">
        <v>365</v>
      </c>
      <c r="F34" s="5" t="s">
        <v>252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100000000000001" customHeight="1">
      <c r="A35" s="25" t="s">
        <v>253</v>
      </c>
      <c r="B35" s="5" t="s">
        <v>251</v>
      </c>
      <c r="C35" s="7"/>
      <c r="D35" s="7">
        <v>184</v>
      </c>
      <c r="E35" s="7"/>
      <c r="F35" s="5" t="s">
        <v>254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100000000000001" customHeight="1">
      <c r="A36" s="25" t="s">
        <v>255</v>
      </c>
      <c r="B36" s="5" t="s">
        <v>251</v>
      </c>
      <c r="C36" s="7"/>
      <c r="D36" s="7">
        <v>118</v>
      </c>
      <c r="E36" s="7"/>
      <c r="F36" s="5" t="s">
        <v>256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1:F1"/>
    <mergeCell ref="A2:F2"/>
    <mergeCell ref="A4:F4"/>
    <mergeCell ref="A24:F24"/>
    <mergeCell ref="A31:F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tabSelected="1" workbookViewId="0">
      <selection sqref="A1:E1"/>
    </sheetView>
  </sheetViews>
  <sheetFormatPr defaultRowHeight="14.25"/>
  <cols>
    <col min="1" max="1" width="7" customWidth="1"/>
    <col min="2" max="2" width="30" customWidth="1"/>
    <col min="3" max="3" width="18" customWidth="1"/>
    <col min="4" max="4" width="48" customWidth="1"/>
    <col min="5" max="5" width="45" customWidth="1"/>
  </cols>
  <sheetData>
    <row r="1" spans="1:26" ht="24" customHeight="1">
      <c r="A1" s="81" t="s">
        <v>257</v>
      </c>
      <c r="B1" s="81"/>
      <c r="C1" s="81"/>
      <c r="D1" s="81"/>
      <c r="E1" s="8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82" t="s">
        <v>258</v>
      </c>
      <c r="B2" s="82"/>
      <c r="C2" s="82"/>
      <c r="D2" s="82"/>
      <c r="E2" s="8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>
      <c r="A4" s="3" t="s">
        <v>259</v>
      </c>
      <c r="B4" s="3" t="s">
        <v>14</v>
      </c>
      <c r="C4" s="3" t="s">
        <v>260</v>
      </c>
      <c r="D4" s="3" t="s">
        <v>261</v>
      </c>
      <c r="E4" s="3" t="s">
        <v>262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95" customHeight="1">
      <c r="A5" s="69" t="s">
        <v>70</v>
      </c>
      <c r="B5" s="70" t="s">
        <v>263</v>
      </c>
      <c r="C5" s="71" t="s">
        <v>264</v>
      </c>
      <c r="D5" s="72" t="s">
        <v>265</v>
      </c>
      <c r="E5" s="70" t="s">
        <v>266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>
      <c r="A6" s="69" t="s">
        <v>90</v>
      </c>
      <c r="B6" s="70" t="s">
        <v>267</v>
      </c>
      <c r="C6" s="71" t="s">
        <v>268</v>
      </c>
      <c r="D6" s="72" t="s">
        <v>269</v>
      </c>
      <c r="E6" s="70" t="s">
        <v>270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95" customHeight="1">
      <c r="A7" s="69" t="s">
        <v>271</v>
      </c>
      <c r="B7" s="70" t="s">
        <v>272</v>
      </c>
      <c r="C7" s="71" t="s">
        <v>273</v>
      </c>
      <c r="D7" s="72" t="s">
        <v>274</v>
      </c>
      <c r="E7" s="70" t="s">
        <v>275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95" customHeight="1">
      <c r="A8" s="69" t="s">
        <v>276</v>
      </c>
      <c r="B8" s="70" t="s">
        <v>277</v>
      </c>
      <c r="C8" s="71" t="s">
        <v>278</v>
      </c>
      <c r="D8" s="72" t="s">
        <v>279</v>
      </c>
      <c r="E8" s="70" t="s">
        <v>280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95" customHeight="1">
      <c r="A9" s="69" t="s">
        <v>281</v>
      </c>
      <c r="B9" s="70" t="s">
        <v>282</v>
      </c>
      <c r="C9" s="71" t="s">
        <v>283</v>
      </c>
      <c r="D9" s="72" t="s">
        <v>284</v>
      </c>
      <c r="E9" s="70" t="s">
        <v>285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95" customHeight="1">
      <c r="A10" s="69" t="s">
        <v>286</v>
      </c>
      <c r="B10" s="70" t="s">
        <v>287</v>
      </c>
      <c r="C10" s="71" t="s">
        <v>288</v>
      </c>
      <c r="D10" s="72" t="s">
        <v>265</v>
      </c>
      <c r="E10" s="70" t="s">
        <v>289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95" customHeight="1">
      <c r="A11" s="69" t="s">
        <v>290</v>
      </c>
      <c r="B11" s="70" t="s">
        <v>291</v>
      </c>
      <c r="C11" s="71" t="s">
        <v>292</v>
      </c>
      <c r="D11" s="72" t="s">
        <v>293</v>
      </c>
      <c r="E11" s="70" t="s">
        <v>294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95" customHeight="1">
      <c r="A12" s="69" t="s">
        <v>122</v>
      </c>
      <c r="B12" s="70" t="s">
        <v>295</v>
      </c>
      <c r="C12" s="71" t="s">
        <v>296</v>
      </c>
      <c r="D12" s="72" t="s">
        <v>297</v>
      </c>
      <c r="E12" s="70" t="s">
        <v>298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95" customHeight="1">
      <c r="A13" s="69" t="s">
        <v>299</v>
      </c>
      <c r="B13" s="70" t="s">
        <v>300</v>
      </c>
      <c r="C13" s="71" t="s">
        <v>296</v>
      </c>
      <c r="D13" s="72" t="s">
        <v>301</v>
      </c>
      <c r="E13" s="70" t="s">
        <v>302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95" customHeight="1">
      <c r="A14" s="69" t="s">
        <v>108</v>
      </c>
      <c r="B14" s="70" t="s">
        <v>303</v>
      </c>
      <c r="C14" s="71" t="s">
        <v>304</v>
      </c>
      <c r="D14" s="72" t="s">
        <v>305</v>
      </c>
      <c r="E14" s="70" t="s">
        <v>107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95" customHeight="1">
      <c r="A15" s="69" t="s">
        <v>114</v>
      </c>
      <c r="B15" s="70" t="s">
        <v>306</v>
      </c>
      <c r="C15" s="71" t="s">
        <v>307</v>
      </c>
      <c r="D15" s="72" t="s">
        <v>308</v>
      </c>
      <c r="E15" s="70" t="s">
        <v>309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95" customHeight="1">
      <c r="A16" s="69" t="s">
        <v>111</v>
      </c>
      <c r="B16" s="70" t="s">
        <v>310</v>
      </c>
      <c r="C16" s="71" t="s">
        <v>311</v>
      </c>
      <c r="D16" s="72" t="s">
        <v>312</v>
      </c>
      <c r="E16" s="70" t="s">
        <v>110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95" customHeight="1">
      <c r="A17" s="69" t="s">
        <v>119</v>
      </c>
      <c r="B17" s="70" t="s">
        <v>313</v>
      </c>
      <c r="C17" s="71" t="s">
        <v>314</v>
      </c>
      <c r="D17" s="72" t="s">
        <v>265</v>
      </c>
      <c r="E17" s="70" t="s">
        <v>315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95" customHeight="1">
      <c r="A18" s="69" t="s">
        <v>316</v>
      </c>
      <c r="B18" s="70" t="s">
        <v>317</v>
      </c>
      <c r="C18" s="71" t="s">
        <v>318</v>
      </c>
      <c r="D18" s="72" t="s">
        <v>265</v>
      </c>
      <c r="E18" s="70" t="s">
        <v>319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95" customHeight="1">
      <c r="A19" s="69" t="s">
        <v>320</v>
      </c>
      <c r="B19" s="70" t="s">
        <v>321</v>
      </c>
      <c r="C19" s="71" t="s">
        <v>322</v>
      </c>
      <c r="D19" s="72" t="s">
        <v>323</v>
      </c>
      <c r="E19" s="70" t="s">
        <v>324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95" customHeight="1">
      <c r="A20" s="69" t="s">
        <v>325</v>
      </c>
      <c r="B20" s="70" t="s">
        <v>326</v>
      </c>
      <c r="C20" s="71" t="s">
        <v>327</v>
      </c>
      <c r="D20" s="72" t="s">
        <v>323</v>
      </c>
      <c r="E20" s="70" t="s">
        <v>328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95" customHeight="1">
      <c r="A21" s="69" t="s">
        <v>98</v>
      </c>
      <c r="B21" s="70" t="s">
        <v>329</v>
      </c>
      <c r="C21" s="71" t="s">
        <v>296</v>
      </c>
      <c r="D21" s="72" t="s">
        <v>323</v>
      </c>
      <c r="E21" s="70" t="s">
        <v>330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Forecast</vt:lpstr>
      <vt:lpstr>DCF</vt:lpstr>
      <vt:lpstr>Sensitivity</vt:lpstr>
      <vt:lpstr>Support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E</dc:creator>
  <cp:lastModifiedBy>Jenifer E</cp:lastModifiedBy>
  <dcterms:created xsi:type="dcterms:W3CDTF">2026-09-07T21:48:14Z</dcterms:created>
  <dcterms:modified xsi:type="dcterms:W3CDTF">2026-09-07T22:09:38Z</dcterms:modified>
</cp:coreProperties>
</file>